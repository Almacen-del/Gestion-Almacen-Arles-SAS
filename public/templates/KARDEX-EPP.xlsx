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0884783f945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P" sheetId="1" r:id="Rbf8fab5ead60494c"/>
    <x:sheet xmlns:r="http://schemas.openxmlformats.org/officeDocument/2006/relationships" name="R.S" sheetId="2" r:id="R64fc6021f70f4d5b"/>
    <x:sheet xmlns:r="http://schemas.openxmlformats.org/officeDocument/2006/relationships" name="R.E" sheetId="3" r:id="R31f5902bf82749a3"/>
  </x:sheets>
</x:workbook>
</file>

<file path=xl/sharedStrings.xml><?xml version="1.0" encoding="utf-8"?>
<x:sst xmlns:x="http://schemas.openxmlformats.org/spreadsheetml/2006/main">
  <x:si>
    <x:t xml:space="preserve">C</x:t>
  </x:si>
  <x:si>
    <x:t xml:space="preserve">Insumos para dos meses</x:t>
  </x:si>
  <x:si>
    <x:t xml:space="preserve">F</x:t>
  </x:si>
  <x:si>
    <x:t xml:space="preserve">Insumos para el mes</x:t>
  </x:si>
  <x:si>
    <x:t xml:space="preserve">D</x:t>
  </x:si>
  <x:si>
    <x:t xml:space="preserve">Pedido</x:t>
  </x:si>
  <x:si>
    <x:t xml:space="preserve">Código</x:t>
  </x:si>
  <x:si>
    <x:t xml:space="preserve">Descripción </x:t>
  </x:si>
  <x:si>
    <x:t xml:space="preserve">Referencia</x:t>
  </x:si>
  <x:si>
    <x:t xml:space="preserve">Entradas </x:t>
  </x:si>
  <x:si>
    <x:t xml:space="preserve">Salidas</x:t>
  </x:si>
  <x:si>
    <x:t xml:space="preserve">Saldo</x:t>
  </x:si>
  <x:si>
    <x:t xml:space="preserve">Estado </x:t>
  </x:si>
  <x:si>
    <x:t xml:space="preserve">16/01/2026</x:t>
  </x:si>
  <x:si>
    <x:t xml:space="preserve">Columna1</x:t>
  </x:si>
  <x:si>
    <x:t xml:space="preserve">Fecha </x:t>
  </x:si>
  <x:si>
    <x:t xml:space="preserve">Cantidad </x:t>
  </x:si>
  <x:si>
    <x:t xml:space="preserve">Cantidad</x:t>
  </x:si>
  <x:si>
    <x:t xml:space="preserve">PCA01</x:t>
  </x:si>
  <x:si>
    <x:t xml:space="preserve">COFIA</x:t>
  </x:si>
  <x:si>
    <x:t xml:space="preserve">Unidad </x:t>
  </x:si>
  <x:si>
    <x:t xml:space="preserve">PCA02</x:t>
  </x:si>
  <x:si>
    <x:t xml:space="preserve">SOMBRERO TIPO SAFARY</x:t>
  </x:si>
  <x:si>
    <x:t xml:space="preserve">PCA03</x:t>
  </x:si>
  <x:si>
    <x:t xml:space="preserve">CASCO ZAFARY</x:t>
  </x:si>
  <x:si>
    <x:t xml:space="preserve">PCA04</x:t>
  </x:si>
  <x:si>
    <x:t xml:space="preserve">CASCO BLANCO (ALTURAS)</x:t>
  </x:si>
  <x:si>
    <x:t xml:space="preserve">PV01</x:t>
  </x:si>
  <x:si>
    <x:t xml:space="preserve">GAFAS LENTE OSCURO</x:t>
  </x:si>
  <x:si>
    <x:t xml:space="preserve">PV02</x:t>
  </x:si>
  <x:si>
    <x:t xml:space="preserve">GAFAS LENTE CLARO</x:t>
  </x:si>
  <x:si>
    <x:t xml:space="preserve">PV03</x:t>
  </x:si>
  <x:si>
    <x:t xml:space="preserve">MONOGAFAS</x:t>
  </x:si>
  <x:si>
    <x:t xml:space="preserve">PF01</x:t>
  </x:si>
  <x:si>
    <x:t xml:space="preserve">CARETA PARA SOLDAR Y LENTE FOTOSENCIBLE</x:t>
  </x:si>
  <x:si>
    <x:t xml:space="preserve">PF02</x:t>
  </x:si>
  <x:si>
    <x:t xml:space="preserve">VISOR EN POLICARBONATO SIN RIBETE</x:t>
  </x:si>
  <x:si>
    <x:t xml:space="preserve">PF03</x:t>
  </x:si>
  <x:si>
    <x:t xml:space="preserve">VISOR  MALLA GUADAÑA</x:t>
  </x:si>
  <x:si>
    <x:t xml:space="preserve">PR01</x:t>
  </x:si>
  <x:si>
    <x:t xml:space="preserve">MASCARA RESPIRADOR MEDIA CARA 3M 6200 TM </x:t>
  </x:si>
  <x:si>
    <x:t xml:space="preserve">Par</x:t>
  </x:si>
  <x:si>
    <x:t xml:space="preserve">PR02</x:t>
  </x:si>
  <x:si>
    <x:t xml:space="preserve">FILTROS PARA MASCARA 6003</x:t>
  </x:si>
  <x:si>
    <x:t xml:space="preserve">PR03</x:t>
  </x:si>
  <x:si>
    <x:t xml:space="preserve">FILTROS PARA MASCARA 2097</x:t>
  </x:si>
  <x:si>
    <x:t xml:space="preserve">PR04</x:t>
  </x:si>
  <x:si>
    <x:t xml:space="preserve">RESPIRADOR KN95</x:t>
  </x:si>
  <x:si>
    <x:t xml:space="preserve">PR05</x:t>
  </x:si>
  <x:si>
    <x:t xml:space="preserve">TAPABOCAS DESECHABLE</x:t>
  </x:si>
  <x:si>
    <x:t xml:space="preserve">PR06</x:t>
  </x:si>
  <x:si>
    <x:t xml:space="preserve">TAPABOCAS INDUSTRIAL NEGRO</x:t>
  </x:si>
  <x:si>
    <x:t xml:space="preserve">PM01</x:t>
  </x:si>
  <x:si>
    <x:t xml:space="preserve">GUANTES DE NITRILO TL</x:t>
  </x:si>
  <x:si>
    <x:t xml:space="preserve">PM02</x:t>
  </x:si>
  <x:si>
    <x:t xml:space="preserve">GUANTE LARGO USO VETERINARIO</x:t>
  </x:si>
  <x:si>
    <x:t xml:space="preserve">PM03</x:t>
  </x:si>
  <x:si>
    <x:t xml:space="preserve">GUANTE NITRILO PUÑO ABIERTO T9</x:t>
  </x:si>
  <x:si>
    <x:t xml:space="preserve">PM04</x:t>
  </x:si>
  <x:si>
    <x:t xml:space="preserve">GUANTE INDUSTRIAL NITRILO CORTO T8</x:t>
  </x:si>
  <x:si>
    <x:t xml:space="preserve">PM05</x:t>
  </x:si>
  <x:si>
    <x:t xml:space="preserve">GUANTE INDUSTRIAL NITRILO CORTO T9</x:t>
  </x:si>
  <x:si>
    <x:t xml:space="preserve">PM06</x:t>
  </x:si>
  <x:si>
    <x:t xml:space="preserve">GUANTE INDUSTRIAL NITRILO LARGO T8</x:t>
  </x:si>
  <x:si>
    <x:t xml:space="preserve">PM07</x:t>
  </x:si>
  <x:si>
    <x:t xml:space="preserve">GUANTE INDUSTRIAL NITRILO LARGO T9</x:t>
  </x:si>
  <x:si>
    <x:t xml:space="preserve">PM08</x:t>
  </x:si>
  <x:si>
    <x:t xml:space="preserve">GUANTE INDUSTRIAL NITRILO LARGO T10</x:t>
  </x:si>
  <x:si>
    <x:t xml:space="preserve">PM09</x:t>
  </x:si>
  <x:si>
    <x:t xml:space="preserve">GUANTE NITRILO DOMESTICO T8</x:t>
  </x:si>
  <x:si>
    <x:t xml:space="preserve">PM10</x:t>
  </x:si>
  <x:si>
    <x:t xml:space="preserve">GUANTES DE VAQUETA CORTO T UNICA</x:t>
  </x:si>
  <x:si>
    <x:t xml:space="preserve">PM11</x:t>
  </x:si>
  <x:si>
    <x:t xml:space="preserve">GUANTE ANTIIMPACTO T9</x:t>
  </x:si>
  <x:si>
    <x:t xml:space="preserve">PM12</x:t>
  </x:si>
  <x:si>
    <x:t xml:space="preserve">GUANTE ANTICORTE T9</x:t>
  </x:si>
  <x:si>
    <x:t xml:space="preserve">PM13</x:t>
  </x:si>
  <x:si>
    <x:t xml:space="preserve">GUANTE KIM- NITRILO ARENADO T8</x:t>
  </x:si>
  <x:si>
    <x:t xml:space="preserve">PM14</x:t>
  </x:si>
  <x:si>
    <x:t xml:space="preserve">GUANTE KIM- NITRILO ARENADO T9</x:t>
  </x:si>
  <x:si>
    <x:t xml:space="preserve">PM15</x:t>
  </x:si>
  <x:si>
    <x:t xml:space="preserve">GUANTE PARA SOLDAR T10</x:t>
  </x:si>
  <x:si>
    <x:t xml:space="preserve">PM16</x:t>
  </x:si>
  <x:si>
    <x:t xml:space="preserve">GUANTE ANTIIMPACTO LINK XL</x:t>
  </x:si>
  <x:si>
    <x:t xml:space="preserve">PM17</x:t>
  </x:si>
  <x:si>
    <x:t xml:space="preserve">GUANTE DE MANIPULACION DE ALIMENTOS</x:t>
  </x:si>
  <x:si>
    <x:t xml:space="preserve">PM18</x:t>
  </x:si>
  <x:si>
    <x:t xml:space="preserve">GUANTE KIM- NITRILO ARENADO T10</x:t>
  </x:si>
  <x:si>
    <x:t xml:space="preserve">PA01</x:t>
  </x:si>
  <x:si>
    <x:t xml:space="preserve">PROTECTOR AUDITIVO INSERCIÓN</x:t>
  </x:si>
  <x:si>
    <x:t xml:space="preserve">PA02</x:t>
  </x:si>
  <x:si>
    <x:t xml:space="preserve">PROTECTOR AUDITIVO COPA</x:t>
  </x:si>
  <x:si>
    <x:t xml:space="preserve">PC01</x:t>
  </x:si>
  <x:si>
    <x:t xml:space="preserve">CANILLERA CORTA </x:t>
  </x:si>
  <x:si>
    <x:t xml:space="preserve">PC02</x:t>
  </x:si>
  <x:si>
    <x:t xml:space="preserve">MANGAS EN CARNAZA T UNICA</x:t>
  </x:si>
  <x:si>
    <x:t xml:space="preserve">PC03</x:t>
  </x:si>
  <x:si>
    <x:t xml:space="preserve">POLAINA EN CARNAZA T UNICA</x:t>
  </x:si>
  <x:si>
    <x:t xml:space="preserve">PC04</x:t>
  </x:si>
  <x:si>
    <x:t xml:space="preserve">DELANTAL DE CARNAZA T UNICA</x:t>
  </x:si>
  <x:si>
    <x:t xml:space="preserve">PC05</x:t>
  </x:si>
  <x:si>
    <x:t xml:space="preserve">DELANTAL PARA USO INDUSTRIAL LARGO C25</x:t>
  </x:si>
  <x:si>
    <x:t xml:space="preserve">PC06</x:t>
  </x:si>
  <x:si>
    <x:t xml:space="preserve">DELANTAL PARA USO INDUSTRIAL CORTO C16</x:t>
  </x:si>
  <x:si>
    <x:t xml:space="preserve">PC07</x:t>
  </x:si>
  <x:si>
    <x:t xml:space="preserve">DELANTAL GUADAÑADOR</x:t>
  </x:si>
  <x:si>
    <x:t xml:space="preserve">PC08</x:t>
  </x:si>
  <x:si>
    <x:t xml:space="preserve">OVEROL ANTIFUIDO INDUSTRIAL TM</x:t>
  </x:si>
  <x:si>
    <x:t xml:space="preserve">PC09</x:t>
  </x:si>
  <x:si>
    <x:t xml:space="preserve">OVEROL ANTIFUIDO INDUSTRIAL TL</x:t>
  </x:si>
  <x:si>
    <x:t xml:space="preserve">PC10</x:t>
  </x:si>
  <x:si>
    <x:t xml:space="preserve">OVEROL ANTIFUIDO INDUSTRIAL TXL</x:t>
  </x:si>
  <x:si>
    <x:t xml:space="preserve">PC11</x:t>
  </x:si>
  <x:si>
    <x:t xml:space="preserve">OVEROL ANTIFUIDO INDUSTRIAL TXXL</x:t>
  </x:si>
  <x:si>
    <x:t xml:space="preserve">PC12</x:t>
  </x:si>
  <x:si>
    <x:t xml:space="preserve">OVEROL DESCARTABLE TM</x:t>
  </x:si>
  <x:si>
    <x:t xml:space="preserve">PC13</x:t>
  </x:si>
  <x:si>
    <x:t xml:space="preserve">OVEROL DESCARTABLE TL</x:t>
  </x:si>
  <x:si>
    <x:t xml:space="preserve">PC14</x:t>
  </x:si>
  <x:si>
    <x:t xml:space="preserve">OVEROL DRIL PARA APICULTURA T40</x:t>
  </x:si>
  <x:si>
    <x:t xml:space="preserve">PC15</x:t>
  </x:si>
  <x:si>
    <x:t xml:space="preserve">OVEROL DRIL PARA APICULTURA T44</x:t>
  </x:si>
  <x:si>
    <x:t xml:space="preserve">PC16</x:t>
  </x:si>
  <x:si>
    <x:t xml:space="preserve">OVEROL DRIL TALLER T38</x:t>
  </x:si>
  <x:si>
    <x:t xml:space="preserve">PC17</x:t>
  </x:si>
  <x:si>
    <x:t xml:space="preserve">ARNES DE GUADAÑA </x:t>
  </x:si>
  <x:si>
    <x:t xml:space="preserve">PC18</x:t>
  </x:si>
  <x:si>
    <x:t xml:space="preserve">IMPERMEABLE XL</x:t>
  </x:si>
  <x:si>
    <x:t xml:space="preserve">PC19</x:t>
  </x:si>
  <x:si>
    <x:t xml:space="preserve">IMPERMEABLE L</x:t>
  </x:si>
  <x:si>
    <x:t xml:space="preserve">PC20</x:t>
  </x:si>
  <x:si>
    <x:t xml:space="preserve">IMPERMEABLE M</x:t>
  </x:si>
  <x:si>
    <x:t xml:space="preserve">PC21</x:t>
  </x:si>
  <x:si>
    <x:t xml:space="preserve">CASQUETE PORTAVISOR AMARILLO</x:t>
  </x:si>
  <x:si>
    <x:t xml:space="preserve">FECHA</x:t>
  </x:si>
  <x:si>
    <x:t xml:space="preserve">CODIGO</x:t>
  </x:si>
  <x:si>
    <x:t xml:space="preserve">ITEM</x:t>
  </x:si>
  <x:si>
    <x:t xml:space="preserve">UNIDAD MEDIDA</x:t>
  </x:si>
  <x:si>
    <x:t xml:space="preserve">Responsable</x:t>
  </x:si>
  <x:si>
    <x:t xml:space="preserve">SALIDA</x:t>
  </x:si>
  <x:si>
    <x:t xml:space="preserve">JUAN SEBASTIAN</x:t>
  </x:si>
  <x:si>
    <x:t xml:space="preserve">YEILER AVILORIO</x:t>
  </x:si>
  <x:si>
    <x:t xml:space="preserve">UBER VELAZQUEZ</x:t>
  </x:si>
  <x:si>
    <x:t xml:space="preserve">LISANDRO ARBOLEDA</x:t>
  </x:si>
  <x:si>
    <x:t xml:space="preserve">GUSTABO PEREZ</x:t>
  </x:si>
  <x:si>
    <x:t xml:space="preserve">RAFAEL FRANCO</x:t>
  </x:si>
  <x:si>
    <x:t xml:space="preserve">JUAN CAMILO GAITAN</x:t>
  </x:si>
  <x:si>
    <x:t xml:space="preserve">WILSON CARRILLO</x:t>
  </x:si>
  <x:si>
    <x:t xml:space="preserve">FERNEY GOMEZ</x:t>
  </x:si>
  <x:si>
    <x:t xml:space="preserve">RENALDO SOSA</x:t>
  </x:si>
  <x:si>
    <x:t xml:space="preserve">WEIMAR IBARRA</x:t>
  </x:si>
  <x:si>
    <x:t xml:space="preserve">FERNEY CASTELLANOS</x:t>
  </x:si>
  <x:si>
    <x:t xml:space="preserve">ELENA QUEVEDO</x:t>
  </x:si>
  <x:si>
    <x:t xml:space="preserve">DENNYS BASTIDAS</x:t>
  </x:si>
  <x:si>
    <x:t xml:space="preserve">LUIS SALCEDO</x:t>
  </x:si>
  <x:si>
    <x:t xml:space="preserve">ELEIDA PULIDO</x:t>
  </x:si>
  <x:si>
    <x:t xml:space="preserve">DAVID QUINTERO</x:t>
  </x:si>
  <x:si>
    <x:t xml:space="preserve">FABIAN CONTRERAS</x:t>
  </x:si>
  <x:si>
    <x:t xml:space="preserve">GUSTAVO PEREZ</x:t>
  </x:si>
  <x:si>
    <x:t xml:space="preserve">JUAN SEBASTIAN ANDRADE</x:t>
  </x:si>
  <x:si>
    <x:t xml:space="preserve">ELIO LOZADA</x:t>
  </x:si>
  <x:si>
    <x:t xml:space="preserve">HARBEY TORRES</x:t>
  </x:si>
  <x:si>
    <x:t xml:space="preserve">PEDRO VACCA</x:t>
  </x:si>
  <x:si>
    <x:t xml:space="preserve">DUVAN CASTELLANOS</x:t>
  </x:si>
  <x:si>
    <x:t xml:space="preserve">ANDRES CALDERON</x:t>
  </x:si>
  <x:si>
    <x:t xml:space="preserve">JUAN ESTRADA</x:t>
  </x:si>
  <x:si>
    <x:t xml:space="preserve">GILBERTO LOPEZ</x:t>
  </x:si>
  <x:si>
    <x:t xml:space="preserve">JUAN ANDRADE</x:t>
  </x:si>
  <x:si>
    <x:t xml:space="preserve">ROGER SNEIDER</x:t>
  </x:si>
  <x:si>
    <x:t xml:space="preserve">WILDER CORTEZ</x:t>
  </x:si>
  <x:si>
    <x:t xml:space="preserve">HAROLD ALVAREZ</x:t>
  </x:si>
  <x:si>
    <x:t xml:space="preserve">WILMER GAITAN</x:t>
  </x:si>
  <x:si>
    <x:t xml:space="preserve">OSCAR MORENO</x:t>
  </x:si>
  <x:si>
    <x:t xml:space="preserve">FABIO MORENO</x:t>
  </x:si>
  <x:si>
    <x:t xml:space="preserve"> </x:t>
  </x:si>
  <x:si>
    <x:t xml:space="preserve">DUVAN DAVID BARRIO</x:t>
  </x:si>
  <x:si>
    <x:t xml:space="preserve">DUVAN BARRIOS</x:t>
  </x:si>
  <x:si>
    <x:t xml:space="preserve">,</x:t>
  </x:si>
  <x:si>
    <x:t xml:space="preserve">KIT ANTIDERRAMES 1</x:t>
  </x:si>
  <x:si>
    <x:t xml:space="preserve">KIT ANTIDERRAMES 2</x:t>
  </x:si>
  <x:si>
    <x:t xml:space="preserve">KIT ANTIDERRAMES 3</x:t>
  </x:si>
  <x:si>
    <x:t xml:space="preserve">KIT ANTIDERRAMES 4</x:t>
  </x:si>
  <x:si>
    <x:t xml:space="preserve">KIT ANTIDERRAMES 5</x:t>
  </x:si>
  <x:si>
    <x:t xml:space="preserve">KIT ANTIDERRAMES 6</x:t>
  </x:si>
  <x:si>
    <x:t xml:space="preserve">KIT ANTIDERRAMES 7</x:t>
  </x:si>
  <x:si>
    <x:t xml:space="preserve">JHONIFER SOLER</x:t>
  </x:si>
  <x:si>
    <x:t xml:space="preserve">JUAN FELIPE ESTRADA</x:t>
  </x:si>
  <x:si>
    <x:t xml:space="preserve">BOTIQUIN</x:t>
  </x:si>
  <x:si>
    <x:t xml:space="preserve">JIMENA CLAVIJO</x:t>
  </x:si>
  <x:si>
    <x:t xml:space="preserve">PEDRO TALLER</x:t>
  </x:si>
  <x:si>
    <x:t xml:space="preserve">ESNEIDER CALDERON</x:t>
  </x:si>
  <x:si>
    <x:t xml:space="preserve">Kit Antiderrames</x:t>
  </x:si>
  <x:si>
    <x:t xml:space="preserve">Fabián Contreras</x:t>
  </x:si>
  <x:si>
    <x:t xml:space="preserve">Ferney Gomez</x:t>
  </x:si>
  <x:si>
    <x:t xml:space="preserve">Felipe Estrada</x:t>
  </x:si>
  <x:si>
    <x:t xml:space="preserve">Ferney Castellanos</x:t>
  </x:si>
  <x:si>
    <x:t xml:space="preserve">Pedro Vacca</x:t>
  </x:si>
  <x:si>
    <x:t xml:space="preserve">Weimar Ibarra</x:t>
  </x:si>
  <x:si>
    <x:t xml:space="preserve">Jhonnifer  Soler</x:t>
  </x:si>
  <x:si>
    <x:t xml:space="preserve">Uber Velasquez</x:t>
  </x:si>
  <x:si>
    <x:t xml:space="preserve">Yeiler Avilorio</x:t>
  </x:si>
  <x:si>
    <x:t xml:space="preserve">Oscar Moreno y Andrés Calderon</x:t>
  </x:si>
  <x:si>
    <x:t xml:space="preserve">Wilson Carrillo, Jhonny Soler</x:t>
  </x:si>
  <x:si>
    <x:t xml:space="preserve">Wilder Stiven</x:t>
  </x:si>
  <x:si>
    <x:t xml:space="preserve">Gilberto  Lopez</x:t>
  </x:si>
  <x:si>
    <x:t xml:space="preserve">Gilberto López</x:t>
  </x:si>
  <x:si>
    <x:t xml:space="preserve">Duvan Castellanos</x:t>
  </x:si>
  <x:si>
    <x:t xml:space="preserve">Juan Camilo</x:t>
  </x:si>
  <x:si>
    <x:t xml:space="preserve">Pedro Vizcaíno</x:t>
  </x:si>
  <x:si>
    <x:t xml:space="preserve">Ximena</x:t>
  </x:si>
  <x:si>
    <x:t xml:space="preserve">Uber Velasquez, Juan Camilo</x:t>
  </x:si>
  <x:si>
    <x:t xml:space="preserve">Reinaldo Sosa</x:t>
  </x:si>
  <x:si>
    <x:t xml:space="preserve">Gilberto</x:t>
  </x:si>
  <x:si>
    <x:t xml:space="preserve">Lizandro Arboleda</x:t>
  </x:si>
  <x:si>
    <x:t xml:space="preserve">Gustavo Pérez</x:t>
  </x:si>
  <x:si>
    <x:t xml:space="preserve">Esneider Calderon</x:t>
  </x:si>
  <x:si>
    <x:t xml:space="preserve">Angie</x:t>
  </x:si>
  <x:si>
    <x:t xml:space="preserve">Sosa y Gustavo</x:t>
  </x:si>
  <x:si>
    <x:t xml:space="preserve">Juan Felipe, Andrea ibanchi</x:t>
  </x:si>
  <x:si>
    <x:t xml:space="preserve">yeiler Avilorio</x:t>
  </x:si>
  <x:si>
    <x:t xml:space="preserve">Denis bastidas</x:t>
  </x:si>
  <x:si>
    <x:t xml:space="preserve">Uber velasquez</x:t>
  </x:si>
  <x:si>
    <x:t xml:space="preserve">rafael</x:t>
  </x:si>
  <x:si>
    <x:t xml:space="preserve">uber</x:t>
  </x:si>
  <x:si>
    <x:t xml:space="preserve">ENTRADA</x:t>
  </x:si>
  <x:si>
    <x:t xml:space="preserve">ARG22</x:t>
  </x:si>
  <x:si>
    <x:t xml:space="preserve">GAFA LENTE OSCURO</x:t>
  </x:si>
  <x:si>
    <x:t xml:space="preserve">ARG23</x:t>
  </x:si>
  <x:si>
    <x:t xml:space="preserve">GAFA LENTE CLARO</x:t>
  </x:si>
  <x:si>
    <x:t xml:space="preserve">ARG24</x:t>
  </x:si>
  <x:si>
    <x:t xml:space="preserve">CASQUETE PORTAVISOR AMARILLO RACHE</x:t>
  </x:si>
  <x:si>
    <x:t xml:space="preserve">ARG25</x:t>
  </x:si>
  <x:si>
    <x:t xml:space="preserve">RESPIRADOR 3M REF 6200 TM</x:t>
  </x:si>
  <x:si>
    <x:t xml:space="preserve">ARG26</x:t>
  </x:si>
  <x:si>
    <x:t xml:space="preserve">CARTUCHO 3M 6003</x:t>
  </x:si>
  <x:si>
    <x:t xml:space="preserve">ARG27</x:t>
  </x:si>
  <x:si>
    <x:t xml:space="preserve">VISOR POLICARBONATO SIN RIBETE</x:t>
  </x:si>
  <x:si>
    <x:t xml:space="preserve">ARG28</x:t>
  </x:si>
  <x:si>
    <x:t xml:space="preserve">GUANTE NITRILO CORTO T9</x:t>
  </x:si>
  <x:si>
    <x:t xml:space="preserve">ARG29</x:t>
  </x:si>
  <x:si>
    <x:t xml:space="preserve">GUANTE NITRILO LARGO T9</x:t>
  </x:si>
  <x:si>
    <x:t xml:space="preserve">ARG30</x:t>
  </x:si>
  <x:si>
    <x:t xml:space="preserve">GUANTE NITRILO LARGO T10</x:t>
  </x:si>
  <x:si>
    <x:t xml:space="preserve">ARG31</x:t>
  </x:si>
  <x:si>
    <x:t xml:space="preserve">GUANTE KIM ARENADO T9</x:t>
  </x:si>
  <x:si>
    <x:t xml:space="preserve">ARG32</x:t>
  </x:si>
  <x:si>
    <x:t xml:space="preserve">ARG33</x:t>
  </x:si>
  <x:si>
    <x:t xml:space="preserve">CANILLERA CORTA</x:t>
  </x:si>
  <x:si>
    <x:t xml:space="preserve">ARG34</x:t>
  </x:si>
  <x:si>
    <x:t xml:space="preserve">DELANTAL AMARILLO</x:t>
  </x:si>
  <x:si>
    <x:t xml:space="preserve">ARG35</x:t>
  </x:si>
  <x:si>
    <x:t xml:space="preserve">OVEROL ANTIFLUIDO AZUL OSCURO TM</x:t>
  </x:si>
  <x:si>
    <x:t xml:space="preserve">ARG36</x:t>
  </x:si>
  <x:si>
    <x:t xml:space="preserve">OVERROL ANTIFLUIDO AZUL OSCURO XXL</x:t>
  </x:si>
  <x:si>
    <x:t xml:space="preserve">ARG37</x:t>
  </x:si>
  <x:si>
    <x:t xml:space="preserve">TRAJE TYVEK TM</x:t>
  </x:si>
  <x:si>
    <x:t xml:space="preserve">ARG38</x:t>
  </x:si>
  <x:si>
    <x:t xml:space="preserve">GUANTE KIM ANTICORTE</x:t>
  </x:si>
  <x:si>
    <x:t xml:space="preserve">ARG39</x:t>
  </x:si>
  <x:si>
    <x:t xml:space="preserve">GUANTE NITRILO 25 PARES</x:t>
  </x:si>
  <x:si>
    <x:t xml:space="preserve">ARG40</x:t>
  </x:si>
  <x:si>
    <x:t xml:space="preserve">OVEROL ANTIFLUIDO T XL</x:t>
  </x:si>
  <x:si>
    <x:t xml:space="preserve">ARG41</x:t>
  </x:si>
  <x:si>
    <x:t xml:space="preserve">TAPABOCA ODONTOLOGO</x:t>
  </x:si>
  <x:si>
    <x:t xml:space="preserve">ARG42</x:t>
  </x:si>
  <x:si>
    <x:t xml:space="preserve">VISOR MALLA ZUBILOA</x:t>
  </x:si>
  <x:si>
    <x:t xml:space="preserve">ARG43</x:t>
  </x:si>
  <x:si>
    <x:t xml:space="preserve">GUANTE NITRILO LARGO T8</x:t>
  </x:si>
  <x:si>
    <x:t xml:space="preserve">ARG44</x:t>
  </x:si>
  <x:si>
    <x:t xml:space="preserve">IMPERMEABLE AMARILO T L</x:t>
  </x:si>
  <x:si>
    <x:t xml:space="preserve">ARG45</x:t>
  </x:si>
  <x:si>
    <x:t xml:space="preserve">IMPERMEABLE AMARILO T M</x:t>
  </x:si>
  <x:si>
    <x:t xml:space="preserve">ARG18</x:t>
  </x:si>
  <x:si>
    <x:t xml:space="preserve">GUANTE NITRILO CORTO T8</x:t>
  </x:si>
  <x:si>
    <x:t xml:space="preserve">ARG19</x:t>
  </x:si>
  <x:si>
    <x:t xml:space="preserve">OVEROL ANTIFLUIDO AZUL OSCURO TL</x:t>
  </x:si>
  <x:si>
    <x:t xml:space="preserve">ARG20</x:t>
  </x:si>
  <x:si>
    <x:t xml:space="preserve">GUANTE KIM NEIRO ANTICORTE</x:t>
  </x:si>
  <x:si>
    <x:t xml:space="preserve">ARG21</x:t>
  </x:si>
  <x:si>
    <x:t xml:space="preserve">GUANTE KIM NITRILO ARENADO T8</x:t>
  </x:si>
  <x:si>
    <x:t xml:space="preserve">ARG15</x:t>
  </x:si>
  <x:si>
    <x:t xml:space="preserve">CONJUNTO IMPERMEABLE AMARILLO T XL</x:t>
  </x:si>
  <x:si>
    <x:t xml:space="preserve">ARG16</x:t>
  </x:si>
  <x:si>
    <x:t xml:space="preserve">CONJUNTO IMPERMEABLE AMARILLO T L</x:t>
  </x:si>
  <x:si>
    <x:t xml:space="preserve">ARG17</x:t>
  </x:si>
  <x:si>
    <x:t xml:space="preserve">GORRA ZAFARY</x:t>
  </x:si>
  <x:si>
    <x:t xml:space="preserve">ARG9</x:t>
  </x:si>
  <x:si>
    <x:t xml:space="preserve">ARG1</x:t>
  </x:si>
  <x:si>
    <x:t xml:space="preserve">VISOR SIN RIBETE</x:t>
  </x:si>
  <x:si>
    <x:t xml:space="preserve">ARG2</x:t>
  </x:si>
  <x:si>
    <x:t xml:space="preserve">VISOR MALLA</x:t>
  </x:si>
  <x:si>
    <x:t xml:space="preserve">ARG3</x:t>
  </x:si>
  <x:si>
    <x:t xml:space="preserve">ARG4</x:t>
  </x:si>
  <x:si>
    <x:t xml:space="preserve">TAPABOCA KN95</x:t>
  </x:si>
  <x:si>
    <x:t xml:space="preserve">ARG5</x:t>
  </x:si>
  <x:si>
    <x:t xml:space="preserve">GUANTE KIM NITRILO ARENADO T9</x:t>
  </x:si>
  <x:si>
    <x:t xml:space="preserve">ARG6</x:t>
  </x:si>
  <x:si>
    <x:t xml:space="preserve">FILTRO 3M REF 2097</x:t>
  </x:si>
  <x:si>
    <x:t xml:space="preserve">ARG7</x:t>
  </x:si>
  <x:si>
    <x:t xml:space="preserve">ARG8</x:t>
  </x:si>
  <x:si>
    <x:t xml:space="preserve">PETO VAQUETA</x:t>
  </x:si>
  <x:si>
    <x:t xml:space="preserve">ARG10</x:t>
  </x:si>
  <x:si>
    <x:t xml:space="preserve">ARG11</x:t>
  </x:si>
  <x:si>
    <x:t xml:space="preserve">CASQUETE PORTAVISOR AMARILLO COMPLETO CON VISOR</x:t>
  </x:si>
  <x:si>
    <x:t xml:space="preserve">ARG12</x:t>
  </x:si>
  <x:si>
    <x:t xml:space="preserve">SEMIPOLO DRIL OSCURO TM</x:t>
  </x:si>
  <x:si>
    <x:t xml:space="preserve">ARG13</x:t>
  </x:si>
  <x:si>
    <x:t xml:space="preserve">ARG14</x:t>
  </x:si>
  <x:si>
    <x:t xml:space="preserve">ARNES GUADAÑA</x:t>
  </x:si>
  <x:si>
    <x:t xml:space="preserve">Unidad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</x:si>
</x:sst>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17">
    <x:font>
      <x:sz val="11"/>
      <x:color theme="1"/>
      <x:name val="Calibri"/>
    </x:font>
    <x:font>
      <x:b/>
      <x:sz val="20"/>
      <x:color rgb="FF7030A0"/>
      <x:name val="Wingdings"/>
    </x:font>
    <x:font>
      <x:sz val="11"/>
      <x:color theme="1"/>
      <x:name val="Stylus BT"/>
    </x:font>
    <x:font>
      <x:b/>
      <x:sz val="20"/>
      <x:color theme="7" tint="-0.49992"/>
      <x:name val="Wingdings"/>
    </x:font>
    <x:font>
      <x:b/>
      <x:sz val="20"/>
      <x:color rgb="FFFF0000"/>
      <x:name val="Wingdings"/>
    </x:font>
    <x:font>
      <x:sz val="12"/>
      <x:color theme="1"/>
      <x:name val="Segoe UI"/>
    </x:font>
    <x:font>
      <x:sz val="12"/>
      <x:color theme="0"/>
      <x:name val="Segoe UI"/>
    </x:font>
    <x:font>
      <x:sz val="12"/>
      <x:color theme="1"/>
      <x:name val="Calibri"/>
    </x:font>
    <x:font>
      <x:sz val="11"/>
      <x:name val="Calibri"/>
    </x:font>
    <x:font>
      <x:sz val="12"/>
      <x:color theme="1"/>
      <x:name val="Calibri"/>
    </x:font>
    <x:font>
      <x:b/>
      <x:sz val="20"/>
      <x:color rgb="FF7030A0"/>
      <x:name val="Wingdings"/>
    </x:font>
    <x:font>
      <x:b/>
      <x:sz val="10"/>
      <x:color rgb="FF7030A0"/>
      <x:name val="Arial"/>
    </x:font>
    <x:font>
      <x:b/>
      <x:sz val="10"/>
      <x:name val="Arial"/>
    </x:font>
    <x:font>
      <x:sz val="10"/>
      <x:color theme="1"/>
      <x:name val="Arial"/>
    </x:font>
    <x:font>
      <x:b/>
      <x:sz val="11"/>
      <x:color theme="1"/>
      <x:name val="Calibri"/>
    </x:font>
    <x:font>
      <x:sz val="12"/>
      <x:color theme="1"/>
      <x:name val="Calibri"/>
    </x:font>
    <x:font>
      <x:b/>
      <x:sz val="20"/>
      <x:color rgb="FF7030A0"/>
      <x:name val="Wingdings"/>
    </x:font>
  </x:fonts>
  <x:fills count="7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00B050"/>
      </x:patternFill>
    </x:fill>
    <x:fill>
      <x:patternFill patternType="solid">
        <x:fgColor theme="9"/>
      </x:patternFill>
    </x:fill>
    <x:fill>
      <x:patternFill patternType="solid">
        <x:fgColor theme="9" tint="0.79992"/>
      </x:patternFill>
    </x:fill>
    <x:fill>
      <x:patternFill patternType="solid">
        <x:fgColor theme="0"/>
      </x:patternFill>
    </x:fill>
  </x:fills>
  <x:borders count="22">
    <x:border/>
    <x:border>
      <x:left style="double">
        <x:color rgb="FF7030A0"/>
      </x:left>
      <x:top style="double">
        <x:color rgb="FF7030A0"/>
      </x:top>
    </x:border>
    <x:border>
      <x:top style="double">
        <x:color rgb="FF7030A0"/>
      </x:top>
    </x:border>
    <x:border>
      <x:left style="double">
        <x:color rgb="FF7030A0"/>
      </x:left>
    </x:border>
    <x:border>
      <x:left style="double">
        <x:color rgb="FF00B050"/>
      </x:left>
      <x:top style="double">
        <x:color rgb="FF00B050"/>
      </x:top>
    </x:border>
    <x:border>
      <x:top style="double">
        <x:color rgb="FF00B050"/>
      </x:top>
      <x:bottom style="double">
        <x:color rgb="FF00B050"/>
      </x:bottom>
    </x:border>
    <x:border>
      <x:right style="double">
        <x:color rgb="FF00B050"/>
      </x:right>
      <x:top style="double">
        <x:color rgb="FF00B050"/>
      </x:top>
      <x:bottom style="double">
        <x:color rgb="FF00B050"/>
      </x:bottom>
    </x:border>
    <x:border>
      <x:left style="double">
        <x:color rgb="FFFF0000"/>
      </x:left>
      <x:top style="double">
        <x:color rgb="FF00B050"/>
      </x:top>
      <x:bottom style="double">
        <x:color rgb="FFFF0000"/>
      </x:bottom>
    </x:border>
    <x:border>
      <x:top style="double">
        <x:color rgb="FF00B050"/>
      </x:top>
      <x:bottom style="double">
        <x:color rgb="FFFF0000"/>
      </x:bottom>
    </x:border>
    <x:border>
      <x:right style="double">
        <x:color rgb="FFFF0000"/>
      </x:right>
      <x:top style="double">
        <x:color rgb="FF00B050"/>
      </x:top>
      <x:bottom style="double">
        <x:color rgb="FFFF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theme="4" tint="0.39998"/>
      </x:bottom>
    </x:border>
    <x:border>
      <x:left style="thin">
        <x:color indexed="64"/>
      </x:left>
      <x:right style="thin">
        <x:color indexed="64"/>
      </x:right>
      <x:top style="thin">
        <x:color theme="4" tint="0.39998"/>
      </x:top>
      <x:bottom style="thin">
        <x:color theme="4" tint="0.39998"/>
      </x:bottom>
    </x:border>
    <x:border>
      <x:top style="thin">
        <x:color theme="4" tint="0.39998"/>
      </x:top>
      <x:bottom style="thin">
        <x:color theme="4" tint="0.39998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theme="4" tint="0.39998"/>
      </x:top>
    </x:border>
    <x:border>
      <x:left style="thin">
        <x:color indexed="64"/>
      </x:left>
      <x:right style="thin">
        <x:color indexed="64"/>
      </x:right>
      <x:bottom style="thin">
        <x:color theme="4" tint="0.39998"/>
      </x:bottom>
    </x:border>
    <x:border>
      <x:left style="thin">
        <x:color theme="9"/>
      </x:left>
      <x:right style="thin">
        <x:color theme="9"/>
      </x:right>
      <x:top style="thin">
        <x:color theme="9"/>
      </x:top>
      <x:bottom style="thin">
        <x:color theme="9"/>
      </x:bottom>
    </x:border>
    <x:border>
      <x:left style="thin">
        <x:color theme="9"/>
      </x:left>
      <x:right style="thin">
        <x:color theme="9"/>
      </x:right>
      <x:bottom style="medium">
        <x:color theme="9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</x:borders>
  <x:cellStyleXfs count="1">
    <x:xf numFmtId="0" fontId="0" fillId="0" borderId="0"/>
  </x:cellStyleXfs>
  <x:cellXfs count="93">
    <x:xf numFmtId="0" fontId="0" fillId="0" borderId="0" xfId="0"/>
    <x:xf numFmtId="0" fontId="1" fillId="0" borderId="1" xfId="0" applyFont="1" applyBorder="1"/>
    <x:xf numFmtId="0" fontId="2" fillId="0" borderId="2" xfId="0" applyFont="1" applyBorder="1"/>
    <x:xf numFmtId="0" fontId="0" fillId="0" borderId="2" xfId="0" applyBorder="1"/>
    <x:xf numFmtId="0" fontId="0" fillId="0" borderId="3" xfId="0" applyBorder="1"/>
    <x:xf numFmtId="0" fontId="3" fillId="0" borderId="4" xfId="0" applyFont="1" applyBorder="1"/>
    <x:xf numFmtId="0" fontId="2" fillId="0" borderId="5" xfId="0" applyFont="1" applyBorder="1"/>
    <x:xf numFmtId="0" fontId="0" fillId="0" borderId="6" xfId="0" applyBorder="1"/>
    <x:xf numFmtId="0" fontId="4" fillId="0" borderId="7" xfId="0" applyFont="1" applyBorder="1"/>
    <x:xf numFmtId="0" fontId="2" fillId="0" borderId="8" xfId="0" applyFont="1" applyBorder="1"/>
    <x:xf numFmtId="0" fontId="0" fillId="0" borderId="9" xfId="0" applyBorder="1"/>
    <x:xf numFmtId="0" fontId="5" fillId="0" borderId="0" xfId="0" applyFont="1"/>
    <x:xf numFmtId="0" fontId="6" fillId="0" borderId="0" xfId="0" applyFont="1"/>
    <x:xf numFmtId="0" fontId="7" fillId="0" borderId="10" xfId="0" applyFont="1" applyBorder="1"/>
    <x:xf numFmtId="0" fontId="7" fillId="0" borderId="11" xfId="0" applyFont="1" applyBorder="1" applyAlignment="1">
      <x:alignment horizontal="center" vertical="center"/>
    </x:xf>
    <x:xf numFmtId="0" fontId="7" fillId="0" borderId="10" xfId="0" applyFont="1" applyBorder="1" applyAlignment="1">
      <x:alignment horizontal="center" vertical="center"/>
    </x:xf>
    <x:xf numFmtId="0" fontId="0" fillId="0" borderId="0" xfId="0" applyAlignment="1">
      <x:alignment horizontal="center"/>
    </x:xf>
    <x:xf numFmtId="14" fontId="0" fillId="0" borderId="0" xfId="0" applyNumberFormat="1" applyAlignment="1">
      <x:alignment horizontal="center"/>
    </x:xf>
    <x:xf numFmtId="0" fontId="0" fillId="0" borderId="0" xfId="0" applyAlignment="1">
      <x:alignment horizontal="left" vertical="center"/>
    </x:xf>
    <x:xf numFmtId="3" fontId="0" fillId="0" borderId="10" xfId="0" applyNumberFormat="1" applyBorder="1" applyAlignment="1">
      <x:alignment horizontal="center"/>
    </x:xf>
    <x:xf numFmtId="3" fontId="0" fillId="0" borderId="11" xfId="0" applyNumberFormat="1" applyBorder="1" applyAlignment="1">
      <x:alignment horizontal="center"/>
    </x:xf>
    <x:xf numFmtId="3" fontId="0" fillId="0" borderId="0" xfId="0" applyNumberFormat="1" applyAlignment="1">
      <x:alignment horizontal="center" vertical="center"/>
    </x:xf>
    <x:xf numFmtId="0" fontId="0" fillId="0" borderId="0" xfId="0" applyAlignment="1">
      <x:alignment horizontal="right"/>
    </x:xf>
    <x:xf numFmtId="1" fontId="0" fillId="0" borderId="0" xfId="0" applyNumberFormat="1" applyAlignment="1">
      <x:alignment horizontal="right"/>
    </x:xf>
    <x:xf numFmtId="0" fontId="8" fillId="0" borderId="0" xfId="0" applyFont="1"/>
    <x:xf numFmtId="0" fontId="8" fillId="0" borderId="0" xfId="0" applyFont="1" applyAlignment="1">
      <x:alignment horizontal="center"/>
    </x:xf>
    <x:xf numFmtId="0" fontId="8" fillId="0" borderId="0" xfId="0" applyFont="1" applyAlignment="1">
      <x:alignment horizontal="left" vertical="center"/>
    </x:xf>
    <x:xf numFmtId="14" fontId="8" fillId="0" borderId="0" xfId="0" applyNumberFormat="1" applyFont="1" applyAlignment="1">
      <x:alignment horizontal="center" vertical="center"/>
    </x:xf>
    <x:xf numFmtId="0" fontId="6" fillId="2" borderId="0" xfId="0" applyFont="1" applyFill="1"/>
    <x:xf numFmtId="0" fontId="6" fillId="2" borderId="0" xfId="0" applyFont="1" applyFill="1" applyAlignment="1">
      <x:alignment horizontal="center"/>
    </x:xf>
    <x:xf numFmtId="0" fontId="9" fillId="0" borderId="11" xfId="0" applyFont="1" applyBorder="1" applyAlignment="1">
      <x:alignment horizontal="center"/>
    </x:xf>
    <x:xf numFmtId="0" fontId="9" fillId="0" borderId="10" xfId="0" applyFont="1" applyBorder="1"/>
    <x:xf numFmtId="0" fontId="10" fillId="0" borderId="10" xfId="0" applyFont="1" applyBorder="1"/>
    <x:xf numFmtId="0" fontId="9" fillId="0" borderId="10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0" fillId="0" borderId="10" xfId="0" applyBorder="1" applyAlignment="1">
      <x:alignment horizontal="center"/>
    </x:xf>
    <x:xf numFmtId="0" fontId="7" fillId="0" borderId="0" xfId="0" applyFont="1" applyAlignment="1">
      <x:alignment horizontal="center" vertical="center"/>
    </x:xf>
    <x:xf numFmtId="0" fontId="7" fillId="0" borderId="11" xfId="0" applyFont="1" applyBorder="1" applyAlignment="1">
      <x:alignment horizontal="center"/>
    </x:xf>
    <x:xf numFmtId="14" fontId="0" fillId="3" borderId="14" xfId="0" applyNumberFormat="1" applyFill="1" applyBorder="1" applyAlignment="1">
      <x:alignment horizontal="center"/>
    </x:xf>
    <x:xf numFmtId="0" fontId="11" fillId="0" borderId="0" xfId="0" applyFont="1"/>
    <x:xf numFmtId="0" fontId="12" fillId="0" borderId="0" xfId="0" applyFont="1"/>
    <x:xf numFmtId="0" fontId="13" fillId="0" borderId="0" xfId="0" applyFont="1"/>
    <x:xf numFmtId="0" fontId="13" fillId="0" borderId="0" xfId="0" applyFont="1" applyAlignment="1">
      <x:alignment horizontal="right"/>
    </x:xf>
    <x:xf numFmtId="0" fontId="9" fillId="0" borderId="16" xfId="0" applyFont="1" applyBorder="1" applyAlignment="1">
      <x:alignment horizontal="center"/>
    </x:xf>
    <x:xf numFmtId="0" fontId="7" fillId="0" borderId="16" xfId="0" applyFont="1" applyBorder="1" applyAlignment="1">
      <x:alignment horizontal="center"/>
    </x:xf>
    <x:xf numFmtId="0" fontId="7" fillId="0" borderId="0" xfId="0" applyFont="1"/>
    <x:xf numFmtId="0" fontId="9" fillId="0" borderId="17" xfId="0" applyFont="1" applyBorder="1" applyAlignment="1">
      <x:alignment horizontal="center"/>
    </x:xf>
    <x:xf numFmtId="0" fontId="0" fillId="0" borderId="11" xfId="0" applyBorder="1" applyAlignment="1">
      <x:alignment horizontal="center"/>
    </x:xf>
    <x:xf numFmtId="0" fontId="0" fillId="0" borderId="18" xfId="0" applyBorder="1" applyAlignment="1">
      <x:alignment horizontal="center"/>
    </x:xf>
    <x:xf numFmtId="0" fontId="14" fillId="4" borderId="19" xfId="0" applyFont="1" applyFill="1" applyBorder="1" applyAlignment="1">
      <x:alignment horizontal="center"/>
    </x:xf>
    <x:xf numFmtId="3" fontId="0" fillId="0" borderId="0" xfId="0" applyNumberFormat="1" applyAlignment="1">
      <x:alignment horizontal="center"/>
    </x:xf>
    <x:xf numFmtId="1" fontId="0" fillId="0" borderId="0" xfId="0" applyNumberFormat="1" applyAlignment="1">
      <x:alignment horizontal="center"/>
    </x:xf>
    <x:xf numFmtId="0" fontId="7" fillId="0" borderId="0" xfId="0" applyFont="1" applyAlignment="1">
      <x:alignment horizontal="center"/>
    </x:xf>
    <x:xf numFmtId="0" fontId="9" fillId="0" borderId="0" xfId="0" applyFont="1" applyAlignment="1">
      <x:alignment horizontal="center"/>
    </x:xf>
    <x:xf numFmtId="0" fontId="0" fillId="0" borderId="13" xfId="0" applyBorder="1" applyAlignment="1">
      <x:alignment horizontal="center"/>
    </x:xf>
    <x:xf numFmtId="0" fontId="0" fillId="0" borderId="17" xfId="0" applyBorder="1" applyAlignment="1">
      <x:alignment horizontal="center"/>
    </x:xf>
    <x:xf numFmtId="0" fontId="0" fillId="5" borderId="0" xfId="0" applyFill="1" applyAlignment="1">
      <x:alignment horizontal="center"/>
    </x:xf>
    <x:xf numFmtId="0" fontId="7" fillId="0" borderId="10" xfId="0" applyFont="1" applyBorder="1" applyAlignment="1">
      <x:alignment horizontal="center"/>
    </x:xf>
    <x:xf numFmtId="0" fontId="15" fillId="0" borderId="11" xfId="0" applyFont="1" applyBorder="1" applyAlignment="1">
      <x:alignment horizontal="center"/>
    </x:xf>
    <x:xf numFmtId="0" fontId="15" fillId="0" borderId="15" xfId="0" applyFont="1" applyBorder="1" applyAlignment="1">
      <x:alignment horizontal="center"/>
    </x:xf>
    <x:xf numFmtId="0" fontId="15" fillId="0" borderId="10" xfId="0" applyFont="1" applyBorder="1"/>
    <x:xf numFmtId="0" fontId="16" fillId="0" borderId="20" xfId="0" applyFont="1" applyBorder="1"/>
    <x:xf numFmtId="0" fontId="15" fillId="0" borderId="11" xfId="0" applyFont="1" applyBorder="1"/>
    <x:xf numFmtId="0" fontId="0" fillId="0" borderId="11" xfId="0" applyBorder="1"/>
    <x:xf numFmtId="3" fontId="0" fillId="0" borderId="11" xfId="0" applyNumberFormat="1" applyBorder="1"/>
    <x:xf numFmtId="0" fontId="16" fillId="0" borderId="21" xfId="0" applyFont="1" applyBorder="1"/>
    <x:xf numFmtId="0" fontId="15" fillId="0" borderId="10" xfId="0" applyFont="1" applyBorder="1" applyAlignment="1">
      <x:alignment horizontal="center"/>
    </x:xf>
    <x:xf numFmtId="0" fontId="15" fillId="0" borderId="12" xfId="0" applyFont="1" applyBorder="1" applyAlignment="1">
      <x:alignment horizontal="center"/>
    </x:xf>
    <x:xf numFmtId="0" fontId="15" fillId="0" borderId="16" xfId="0" applyFont="1" applyBorder="1" applyAlignment="1">
      <x:alignment horizontal="center"/>
    </x:xf>
    <x:xf numFmtId="0" fontId="15" fillId="0" borderId="13" xfId="0" applyFont="1" applyBorder="1" applyAlignment="1">
      <x:alignment horizontal="center"/>
    </x:xf>
    <x:xf numFmtId="0" fontId="0" fillId="0" borderId="0" xfId="0" applyAlignment="1">
      <x:alignment wrapText="1"/>
    </x:xf>
    <x:xf numFmtId="0" fontId="14" fillId="4" borderId="0" xfId="0" applyFont="1" applyFill="1" applyAlignment="1">
      <x:alignment horizontal="center" wrapText="1"/>
    </x:xf>
    <x:xf numFmtId="0" fontId="14" fillId="0" borderId="0" xfId="0" applyFont="1" applyAlignment="1">
      <x:alignment wrapText="1"/>
    </x:xf>
    <x:xf numFmtId="164" fontId="0" fillId="0" borderId="0" xfId="0" applyNumberFormat="1" applyAlignment="1">
      <x:alignment horizontal="center" wrapText="1"/>
    </x:xf>
    <x:xf numFmtId="0" fontId="7" fillId="0" borderId="0" xfId="0" applyFont="1" applyAlignment="1">
      <x:alignment horizontal="center" wrapText="1"/>
    </x:xf>
    <x:xf numFmtId="0" fontId="0" fillId="0" borderId="0" xfId="0" applyAlignment="1">
      <x:alignment horizontal="center" wrapText="1"/>
    </x:xf>
    <x:xf numFmtId="0" fontId="0" fillId="0" borderId="0" xfId="0" applyAlignment="1">
      <x:alignment horizontal="center" vertical="center" wrapText="1"/>
    </x:xf>
    <x:xf numFmtId="0" fontId="7" fillId="0" borderId="0" xfId="0" applyFont="1" applyAlignment="1">
      <x:alignment horizontal="center" vertical="center" wrapText="1"/>
    </x:xf>
    <x:xf numFmtId="0" fontId="0" fillId="0" borderId="11" xfId="0" applyBorder="1" applyAlignment="1">
      <x:alignment horizontal="center" wrapText="1"/>
    </x:xf>
    <x:xf numFmtId="0" fontId="0" fillId="0" borderId="12" xfId="0" applyBorder="1" applyAlignment="1">
      <x:alignment horizontal="center" wrapText="1"/>
    </x:xf>
    <x:xf numFmtId="0" fontId="0" fillId="0" borderId="10" xfId="0" applyBorder="1" applyAlignment="1">
      <x:alignment horizontal="center" wrapText="1"/>
    </x:xf>
    <x:xf numFmtId="164" fontId="0" fillId="0" borderId="0" xfId="0" applyNumberFormat="1" applyAlignment="1">
      <x:alignment horizontal="center" vertical="center" wrapText="1"/>
    </x:xf>
    <x:xf numFmtId="0" fontId="0" fillId="6" borderId="0" xfId="0" applyFill="1" applyAlignment="1">
      <x:alignment horizontal="center"/>
    </x:xf>
    <x:xf numFmtId="0" fontId="6" fillId="6" borderId="0" xfId="0" applyFont="1" applyFill="1" applyAlignment="1">
      <x:alignment horizontal="center"/>
    </x:xf>
    <x:xf numFmtId="0" fontId="8" fillId="6" borderId="0" xfId="0" applyFont="1" applyFill="1" applyAlignment="1">
      <x:alignment horizontal="center"/>
    </x:xf>
    <x:xf numFmtId="164" fontId="0" fillId="0" borderId="0" xfId="0" applyNumberFormat="1" applyFont="1" applyFill="1" applyBorder="1"/>
    <x:xf numFmtId="164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164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164" fontId="0" fillId="0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horizontal="center" wrapText="0"/>
    </x:xf>
  </x:cellXfs>
  <x:cellStyles count="1">
    <x:cellStyle name="Normal" xfId="0"/>
  </x:cellStyles>
  <x:dxfs count="3">
    <x:dxf>
      <x:font>
        <x:b/>
        <x:color rgb="FFFF0000"/>
      </x:font>
    </x:dxf>
    <x:dxf>
      <x:font>
        <x:b/>
        <x:color theme="7" tint="-0.49992"/>
      </x:font>
    </x:dxf>
    <x:dxf>
      <x:font>
        <x:b/>
        <x:color rgb="FF7030A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39a9537cf246cf" /><Relationship Type="http://schemas.openxmlformats.org/officeDocument/2006/relationships/theme" Target="/xl/theme/theme1.xml" Id="Rd0761fc7b4394376" /><Relationship Type="http://schemas.openxmlformats.org/officeDocument/2006/relationships/sharedStrings" Target="/xl/sharedStrings.xml" Id="R5d2a21248454485f" /><Relationship Type="http://schemas.openxmlformats.org/officeDocument/2006/relationships/worksheet" Target="/xl/worksheets/sheet1.xml" Id="Rbf8fab5ead60494c" /><Relationship Type="http://schemas.openxmlformats.org/officeDocument/2006/relationships/worksheet" Target="/xl/worksheets/sheet2.xml" Id="R64fc6021f70f4d5b" /><Relationship Type="http://schemas.openxmlformats.org/officeDocument/2006/relationships/worksheet" Target="/xl/worksheets/sheet3.xml" Id="R31f5902bf82749a3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771526</xdr:colOff>
      <xdr:row>0</xdr:row>
      <xdr:rowOff>140760</xdr:rowOff>
    </xdr:from>
    <xdr:to>
      <xdr:col>6</xdr:col>
      <xdr:colOff>699560</xdr:colOff>
      <xdr:row>4</xdr:row>
      <xdr:rowOff>159808</xdr:rowOff>
    </xdr:to>
    <xdr:sp>
      <xdr:nvSpPr>
        <xdr:cNvPr id="1" name="Forma en L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71526" y="140760"/>
          <a:ext cx="5820834" cy="1204381"/>
        </a:xfrm>
        <a:prstGeom xmlns:a="http://schemas.openxmlformats.org/drawingml/2006/main" prst="corner">
          <a:avLst/>
        </a:prstGeom>
        <a:solidFill xmlns:a="http://schemas.openxmlformats.org/drawingml/2006/main">
          <a:srgbClr val="00B050"/>
        </a:solidFill>
      </xdr:spPr>
      <x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115092</xdr:colOff>
      <xdr:row>0</xdr:row>
      <xdr:rowOff>144065</xdr:rowOff>
    </xdr:from>
    <xdr:to>
      <xdr:col>2</xdr:col>
      <xdr:colOff>1210468</xdr:colOff>
      <xdr:row>4</xdr:row>
      <xdr:rowOff>58341</xdr:rowOff>
    </xdr:to>
    <xdr:sp>
      <xdr:nvSpPr>
        <xdr:cNvPr id="2" name="CuadroTexto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07572" y="144065"/>
          <a:ext cx="2093596" cy="108775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20000"/>
            <a:lumOff val="80000"/>
          </a:schemeClr>
        </a:solidFill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1800" b="1">
              <a:solidFill>
                <a:schemeClr val="accent3"/>
              </a:solidFill>
              <a:latin typeface="Showcard Gothic"/>
              <a:ea typeface="Showcard Gothic"/>
              <a:cs typeface="Showcard Gothic"/>
            </a:rPr>
            <a:t>ELEMENTOS DE PROTECCIÓN PERSONAL </a:t>
          </a:r>
          <a:endParaRPr/>
        </a:p>
        <a:p xmlns:a="http://schemas.openxmlformats.org/drawingml/2006/main">
          <a:endParaRPr/>
        </a:p>
        <a:p xmlns:a="http://schemas.openxmlformats.org/drawingml/2006/main">
          <a:endParaRPr/>
        </a:p>
      </xdr:txBody>
    </xdr:sp>
    <xdr:clientData/>
  </xdr:twoCellAnchor>
  <xdr:twoCellAnchor editAs="oneCell">
    <xdr:from>
      <xdr:col>9</xdr:col>
      <xdr:colOff>696383</xdr:colOff>
      <xdr:row>0</xdr:row>
      <xdr:rowOff>186265</xdr:rowOff>
    </xdr:from>
    <xdr:to>
      <xdr:col>14</xdr:col>
      <xdr:colOff>86783</xdr:colOff>
      <xdr:row>4</xdr:row>
      <xdr:rowOff>176738</xdr:rowOff>
    </xdr:to>
    <xdr:sp>
      <xdr:nvSpPr>
        <xdr:cNvPr id="3" name="Forma en L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780183" y="186265"/>
          <a:ext cx="4715933" cy="1175806"/>
        </a:xfrm>
        <a:prstGeom xmlns:a="http://schemas.openxmlformats.org/drawingml/2006/main" prst="corner">
          <a:avLst/>
        </a:prstGeom>
        <a:solidFill xmlns:a="http://schemas.openxmlformats.org/drawingml/2006/main">
          <a:srgbClr val="00B050"/>
        </a:solidFill>
      </xdr:spPr>
      <x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  <xdr:twoCellAnchor editAs="oneCell">
    <xdr:from>
      <xdr:col>15</xdr:col>
      <xdr:colOff>9525</xdr:colOff>
      <xdr:row>0</xdr:row>
      <xdr:rowOff>104774</xdr:rowOff>
    </xdr:from>
    <xdr:to>
      <xdr:col>18</xdr:col>
      <xdr:colOff>0</xdr:colOff>
      <xdr:row>4</xdr:row>
      <xdr:rowOff>114297</xdr:rowOff>
    </xdr:to>
    <xdr:sp>
      <xdr:nvSpPr>
        <xdr:cNvPr id="4" name="Forma en L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853285" y="104774"/>
          <a:ext cx="4126230" cy="1183003"/>
        </a:xfrm>
        <a:prstGeom xmlns:a="http://schemas.openxmlformats.org/drawingml/2006/main" prst="corner">
          <a:avLst/>
        </a:prstGeom>
        <a:solidFill xmlns:a="http://schemas.openxmlformats.org/drawingml/2006/main">
          <a:srgbClr val="00B050"/>
        </a:solidFill>
      </xdr:spPr>
      <x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57150</xdr:colOff>
      <xdr:row>0</xdr:row>
      <xdr:rowOff>171450</xdr:rowOff>
    </xdr:from>
    <xdr:to>
      <xdr:col>12</xdr:col>
      <xdr:colOff>9525</xdr:colOff>
      <xdr:row>3</xdr:row>
      <xdr:rowOff>152400</xdr:rowOff>
    </xdr:to>
    <xdr:sp>
      <xdr:nvSpPr>
        <xdr:cNvPr id="5" name="CuadroTexto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947910" y="171450"/>
          <a:ext cx="2466975" cy="96393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20000"/>
            <a:lumOff val="80000"/>
          </a:schemeClr>
        </a:solidFill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1800" b="1">
              <a:solidFill>
                <a:schemeClr val="accent3"/>
              </a:solidFill>
              <a:latin typeface="Showcard Gothic"/>
              <a:ea typeface="Showcard Gothic"/>
              <a:cs typeface="Showcard Gothic"/>
            </a:rPr>
            <a:t>ENTRADAS</a:t>
          </a:r>
          <a:endParaRPr/>
        </a:p>
        <a:p xmlns:a="http://schemas.openxmlformats.org/drawingml/2006/main">
          <a:endParaRPr/>
        </a:p>
      </xdr:txBody>
    </xdr:sp>
    <xdr:clientData/>
  </xdr:twoCellAnchor>
  <xdr:twoCellAnchor editAs="oneCell">
    <xdr:from>
      <xdr:col>15</xdr:col>
      <xdr:colOff>85725</xdr:colOff>
      <xdr:row>0</xdr:row>
      <xdr:rowOff>180975</xdr:rowOff>
    </xdr:from>
    <xdr:to>
      <xdr:col>17</xdr:col>
      <xdr:colOff>0</xdr:colOff>
      <xdr:row>3</xdr:row>
      <xdr:rowOff>95250</xdr:rowOff>
    </xdr:to>
    <xdr:sp>
      <xdr:nvSpPr>
        <xdr:cNvPr id="6" name="CuadroTexto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929485" y="180975"/>
          <a:ext cx="2394585" cy="89725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20000"/>
            <a:lumOff val="80000"/>
          </a:schemeClr>
        </a:solidFill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1800" b="1">
              <a:solidFill>
                <a:schemeClr val="accent3"/>
              </a:solidFill>
              <a:latin typeface="Showcard Gothic"/>
              <a:ea typeface="Showcard Gothic"/>
              <a:cs typeface="Showcard Gothic"/>
            </a:rPr>
            <a:t>SALIDAS </a:t>
          </a:r>
          <a:endParaRPr/>
        </a:p>
        <a:p xmlns:a="http://schemas.openxmlformats.org/drawingml/2006/main">
          <a:endParaRPr/>
        </a:p>
      </xdr:txBody>
    </xdr:sp>
    <xdr:clientData/>
  </xdr:twoCellAnchor>
</xdr:wsDr>
</file>

<file path=xl/tables/table1.xml><?xml version="1.0" encoding="utf-8"?>
<x:table xmlns:x="http://schemas.openxmlformats.org/spreadsheetml/2006/main" id="4" name="Taller2585" displayName="Taller2585" ref="B6:I64">
  <x:autoFilter ref="B6:I64"/>
  <x:tableColumns count="8">
    <x:tableColumn id="1" name="Código"/>
    <x:tableColumn id="2" name="Descripción "/>
    <x:tableColumn id="7" name="Referencia"/>
    <x:tableColumn id="3" name="Entradas "/>
    <x:tableColumn id="4" name="Salidas"/>
    <x:tableColumn id="5" name="Saldo"/>
    <x:tableColumn id="6" name="Estado "/>
    <x:tableColumn id="8" name="16/01/202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Entradas3696" displayName="Entradas3696" ref="K6:N64">
  <x:autoFilter ref="K6:N64"/>
  <x:tableColumns count="4">
    <x:tableColumn id="1" name="Código"/>
    <x:tableColumn id="2" name="Descripción "/>
    <x:tableColumn id="3" name="Fecha "/>
    <x:tableColumn id="4" name="Cantidad 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Salidas47107" displayName="Salidas47107" ref="P6:R64">
  <x:autoFilter ref="P6:R64"/>
  <x:tableColumns count="3">
    <x:tableColumn id="1" name="Código"/>
    <x:tableColumn id="2" name="Descripción "/>
    <x:tableColumn id="4" name="Cantida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Tabla1" displayName="Tabla1" ref="A1:F947">
  <x:autoFilter ref="A1:F947"/>
  <x:sortState ref="A2:F947">
    <x:sortCondition ref="A613:A947"/>
  </x:sortState>
  <x:tableColumns count="6">
    <x:tableColumn id="1" name="FECHA"/>
    <x:tableColumn id="2" name="CODIGO"/>
    <x:tableColumn id="3" name="ITEM"/>
    <x:tableColumn id="5" name="UNIDAD MEDIDA"/>
    <x:tableColumn id="8" name="Responsable"/>
    <x:tableColumn id="4" name="SALIDA"/>
  </x:tableColumns>
  <x:tableStyleInfo name="TableStyleLight21" showFirstColumn="0" showLastColumn="0" showRowStripes="1" showColumnStripes="0"/>
</x:table>
</file>

<file path=xl/tables/table5.xml><?xml version="1.0" encoding="utf-8"?>
<x:table xmlns:x="http://schemas.openxmlformats.org/spreadsheetml/2006/main" id="2" name="Tabla2" displayName="Tabla2" ref="A1:E894">
  <x:autoFilter ref="A1:E894"/>
  <x:tableColumns count="5">
    <x:tableColumn id="1" name="FECHA"/>
    <x:tableColumn id="2" name="CODIGO"/>
    <x:tableColumn id="3" name="ITEM"/>
    <x:tableColumn id="4" name="UNIDAD MEDIDA"/>
    <x:tableColumn id="6" name="ENTRADA"/>
  </x:tableColumns>
  <x:tableStyleInfo name="TableStyleLight21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8eb4f16ad44ef3" /><Relationship Type="http://schemas.openxmlformats.org/officeDocument/2006/relationships/table" Target="/xl/tables/table1.xml" Id="Reb3e128b1fbd4918" /><Relationship Type="http://schemas.openxmlformats.org/officeDocument/2006/relationships/table" Target="/xl/tables/table2.xml" Id="R8cfb01416014494c" /><Relationship Type="http://schemas.openxmlformats.org/officeDocument/2006/relationships/table" Target="/xl/tables/table3.xml" Id="R65ad90a927fb45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2faf155ea9c64e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6b76ac866165484c" /></Relationships>
</file>

<file path=xl/worksheets/sheet1.xml><?xml version="1.0" encoding="utf-8"?>
<x:worksheet xmlns:x="http://schemas.openxmlformats.org/spreadsheetml/2006/main">
  <x:sheetPr>
    <x:tabColor theme="9" tint="0.39998"/>
  </x:sheetPr>
  <x:sheetViews>
    <x:sheetView showGridLines="0" workbookViewId="0"/>
  </x:sheetViews>
  <x:sheetFormatPr baseColWidth="10" defaultRowHeight="15"/>
  <x:cols>
    <x:col min="2" max="2" width="14.5703125" customWidth="1"/>
    <x:col min="3" max="3" width="44.7109375" customWidth="1"/>
    <x:col min="5" max="7" width="11.7109375" customWidth="1"/>
    <x:col min="8" max="8" width="9.140625" customWidth="1"/>
    <x:col min="9" max="9" width="6" hidden="1" customWidth="1"/>
    <x:col min="10" max="10" width="6" style="16" customWidth="1"/>
    <x:col min="11" max="11" width="15.28515625" customWidth="1"/>
    <x:col min="12" max="12" width="42.28515625" customWidth="1"/>
    <x:col min="13" max="13" width="14.28515625" style="16" customWidth="1"/>
    <x:col min="14" max="14" width="10.7109375" customWidth="1"/>
    <x:col min="17" max="17" width="44.85546875" customWidth="1"/>
    <x:col min="18" max="18" width="15.7109375" style="22" customWidth="1"/>
  </x:cols>
  <x:sheetData>
    <x:row r="1" ht="25.5">
      <x:c r="E1" s="1" t="s">
        <x:v>0</x:v>
      </x:c>
      <x:c r="F1" s="2" t="s">
        <x:v>1</x:v>
      </x:c>
      <x:c r="G1" s="3"/>
      <x:c r="H1" s="4"/>
    </x:row>
    <x:row r="2" ht="25.5">
      <x:c r="E2" s="5" t="s">
        <x:v>2</x:v>
      </x:c>
      <x:c r="F2" s="6" t="s">
        <x:v>3</x:v>
      </x:c>
      <x:c r="G2" s="7"/>
    </x:row>
    <x:row r="3" ht="25.5">
      <x:c r="E3" s="8" t="s">
        <x:v>4</x:v>
      </x:c>
      <x:c r="F3" s="9" t="s">
        <x:v>5</x:v>
      </x:c>
      <x:c r="G3" s="10"/>
    </x:row>
    <x:row r="5">
      <x:c r="J5" s="83"/>
    </x:row>
    <x:row r="6" ht="17.25">
      <x:c r="A6" s="11"/>
      <x:c r="B6" s="28" t="s">
        <x:v>6</x:v>
      </x:c>
      <x:c r="C6" s="28" t="s">
        <x:v>7</x:v>
      </x:c>
      <x:c r="D6" s="29" t="s">
        <x:v>8</x:v>
      </x:c>
      <x:c r="E6" s="29" t="s">
        <x:v>9</x:v>
      </x:c>
      <x:c r="F6" s="29" t="s">
        <x:v>10</x:v>
      </x:c>
      <x:c r="G6" s="29" t="s">
        <x:v>11</x:v>
      </x:c>
      <x:c r="H6" s="29" t="s">
        <x:v>12</x:v>
      </x:c>
      <x:c r="I6" s="39" t="s">
        <x:v>13</x:v>
      </x:c>
      <x:c r="J6" s="84" t="s">
        <x:v>14</x:v>
      </x:c>
      <x:c r="K6" s="28" t="s">
        <x:v>6</x:v>
      </x:c>
      <x:c r="L6" s="28" t="s">
        <x:v>7</x:v>
      </x:c>
      <x:c r="M6" s="29" t="s">
        <x:v>15</x:v>
      </x:c>
      <x:c r="N6" s="28" t="s">
        <x:v>16</x:v>
      </x:c>
      <x:c r="O6" s="12"/>
      <x:c r="P6" s="28" t="s">
        <x:v>6</x:v>
      </x:c>
      <x:c r="Q6" s="28" t="s">
        <x:v>7</x:v>
      </x:c>
      <x:c r="R6" s="29" t="s">
        <x:v>17</x:v>
      </x:c>
      <x:c r="S6" s="11"/>
    </x:row>
    <x:row r="7" ht="27" customHeight="1">
      <x:c r="B7" s="14" t="s">
        <x:v>18</x:v>
      </x:c>
      <x:c r="C7" s="13" t="s">
        <x:v>19</x:v>
      </x:c>
      <x:c r="D7" s="13" t="s">
        <x:v>20</x:v>
      </x:c>
      <x:c r="E7" s="19" t="n">
        <x:f t="shared" ref="E7:E38" si="0">SUMIF($K$7:$K$64,B7,$N$7:$N$64)</x:f>
        <x:v>15</x:v>
      </x:c>
      <x:c r="F7" s="20" t="n">
        <x:f>SUMIF('R.S'!$B$2:$B$947,B7,'R.S'!$F$2:$F$947)</x:f>
        <x:v>4</x:v>
      </x:c>
      <x:c r="G7" s="36" t="n">
        <x:f t="shared" ref="G7:G38" si="1">E7-F7</x:f>
        <x:v>11</x:v>
      </x:c>
      <x:c r="H7" s="32" t="str">
        <x:f t="shared" ref="H7:H38" si="2">IF(G7&lt;1,"D",IF(G7&lt;2,"F","C"))</x:f>
        <x:v>C</x:v>
      </x:c>
      <x:c r="I7" s="40">
        <x:v>15</x:v>
      </x:c>
      <x:c r="J7" s="85"/>
      <x:c r="K7" s="14" t="s">
        <x:v>18</x:v>
      </x:c>
      <x:c r="L7" s="18" t="str">
        <x:f>+VLOOKUP(Entradas3696[[#This Row],[Código]],Taller2585[],2,FALSE)</x:f>
        <x:v>COFIA</x:v>
      </x:c>
      <x:c r="M7" s="17">
        <x:v>46038</x:v>
      </x:c>
      <x:c r="N7" s="21" t="n">
        <x:f>SUMIFS('R.E'!$E$2:$E$894,'R.E'!$B$2:$B$894,K7)+IFERROR(I7,0)</x:f>
        <x:v>15</x:v>
      </x:c>
      <x:c r="P7" s="37" t="s">
        <x:v>18</x:v>
      </x:c>
      <x:c r="Q7" s="18" t="str">
        <x:f>+VLOOKUP(Salidas47107[[#This Row],[Código]],Taller2585[],2,FALSE)</x:f>
        <x:v>COFIA</x:v>
      </x:c>
      <x:c r="R7" s="21" t="n">
        <x:f>SUMIF('R.S'!$B$2:$B$947,P7,'R.S'!$F$2:$F$947)</x:f>
        <x:v>4</x:v>
      </x:c>
    </x:row>
    <x:row r="8" ht="25.5">
      <x:c r="B8" s="15" t="s">
        <x:v>21</x:v>
      </x:c>
      <x:c r="C8" s="13" t="s">
        <x:v>22</x:v>
      </x:c>
      <x:c r="D8" s="13" t="s">
        <x:v>20</x:v>
      </x:c>
      <x:c r="E8" s="19" t="n">
        <x:f t="shared" si="0">SUMIF($K$7:$K$64,B8,$N$7:$N$64)</x:f>
        <x:v>22</x:v>
      </x:c>
      <x:c r="F8" s="20" t="n">
        <x:f>SUMIF('R.S'!$B$2:$B$947,B8,'R.S'!$F$2:$F$947)</x:f>
        <x:v>17</x:v>
      </x:c>
      <x:c r="G8" s="19" t="n">
        <x:f t="shared" si="1">E8-F8</x:f>
        <x:v>5</x:v>
      </x:c>
      <x:c r="H8" s="32" t="str">
        <x:f t="shared" si="2">IF(G8&lt;1,"D",IF(G8&lt;2,"F","C"))</x:f>
        <x:v>C</x:v>
      </x:c>
      <x:c r="I8" s="40">
        <x:v>6</x:v>
      </x:c>
      <x:c r="J8" s="85"/>
      <x:c r="K8" s="15" t="s">
        <x:v>21</x:v>
      </x:c>
      <x:c r="L8" s="18" t="str">
        <x:f>+VLOOKUP(Entradas3696[[#This Row],[Código]],Taller2585[],2,FALSE)</x:f>
        <x:v>SOMBRERO TIPO SAFARY</x:v>
      </x:c>
      <x:c r="M8" s="17">
        <x:v>46056</x:v>
      </x:c>
      <x:c r="N8" s="21" t="n">
        <x:f>SUMIFS('R.E'!$E$2:$E$894,'R.E'!$B$2:$B$894,K8)+IFERROR(I8,0)</x:f>
        <x:v>22</x:v>
      </x:c>
      <x:c r="P8" s="37" t="s">
        <x:v>21</x:v>
      </x:c>
      <x:c r="Q8" s="18" t="str">
        <x:f>+VLOOKUP(Salidas47107[[#This Row],[Código]],Taller2585[],2,FALSE)</x:f>
        <x:v>SOMBRERO TIPO SAFARY</x:v>
      </x:c>
      <x:c r="R8" s="21" t="n">
        <x:f>SUMIF('R.S'!$B$2:$B$947,P8,'R.S'!$F$2:$F$947)</x:f>
        <x:v>17</x:v>
      </x:c>
    </x:row>
    <x:row r="9" ht="25.5">
      <x:c r="B9" s="15" t="s">
        <x:v>23</x:v>
      </x:c>
      <x:c r="C9" s="13" t="s">
        <x:v>24</x:v>
      </x:c>
      <x:c r="D9" s="13" t="s">
        <x:v>20</x:v>
      </x:c>
      <x:c r="E9" s="19" t="n">
        <x:f t="shared" si="0">SUMIF($K$7:$K$64,B9,$N$7:$N$64)</x:f>
        <x:v>26</x:v>
      </x:c>
      <x:c r="F9" s="20" t="n">
        <x:f>SUMIF('R.S'!$B$2:$B$947,B9,'R.S'!$F$2:$F$947)</x:f>
        <x:v>13</x:v>
      </x:c>
      <x:c r="G9" s="36" t="n">
        <x:f t="shared" si="1">E9-F9</x:f>
        <x:v>13</x:v>
      </x:c>
      <x:c r="H9" s="32" t="str">
        <x:f t="shared" si="2">IF(G9&lt;1,"D",IF(G9&lt;2,"F","C"))</x:f>
        <x:v>C</x:v>
      </x:c>
      <x:c r="I9" s="40">
        <x:v>8</x:v>
      </x:c>
      <x:c r="J9" s="85"/>
      <x:c r="K9" s="15" t="s">
        <x:v>23</x:v>
      </x:c>
      <x:c r="L9" s="18" t="str">
        <x:f>+VLOOKUP(Entradas3696[[#This Row],[Código]],Taller2585[],2,FALSE)</x:f>
        <x:v>CASCO ZAFARY</x:v>
      </x:c>
      <x:c r="M9" s="17">
        <x:v>46056</x:v>
      </x:c>
      <x:c r="N9" s="21" t="n">
        <x:f>SUMIFS('R.E'!$E$2:$E$894,'R.E'!$B$2:$B$894,K9)+IFERROR(I9,0)</x:f>
        <x:v>26</x:v>
      </x:c>
      <x:c r="P9" s="37" t="s">
        <x:v>23</x:v>
      </x:c>
      <x:c r="Q9" s="18" t="str">
        <x:f>+VLOOKUP(Salidas47107[[#This Row],[Código]],Taller2585[],2,FALSE)</x:f>
        <x:v>CASCO ZAFARY</x:v>
      </x:c>
      <x:c r="R9" s="21" t="n">
        <x:f>SUMIF('R.S'!$B$2:$B$947,P9,'R.S'!$F$2:$F$947)</x:f>
        <x:v>13</x:v>
      </x:c>
    </x:row>
    <x:row r="10" ht="25.5">
      <x:c r="B10" s="38" t="s">
        <x:v>25</x:v>
      </x:c>
      <x:c r="C10" s="13" t="s">
        <x:v>26</x:v>
      </x:c>
      <x:c r="D10" s="13" t="s">
        <x:v>20</x:v>
      </x:c>
      <x:c r="E10" s="19" t="n">
        <x:f t="shared" si="0">SUMIF($K$7:$K$64,B10,$N$7:$N$64)</x:f>
        <x:v>3</x:v>
      </x:c>
      <x:c r="F10" s="20" t="n">
        <x:f>SUMIF('R.S'!$B$2:$B$947,B10,'R.S'!$F$2:$F$947)</x:f>
        <x:v>2</x:v>
      </x:c>
      <x:c r="G10" s="36" t="n">
        <x:f t="shared" si="1">E10-F10</x:f>
        <x:v>1</x:v>
      </x:c>
      <x:c r="H10" s="32" t="str">
        <x:f t="shared" si="2">IF(G10&lt;1,"D",IF(G10&lt;2,"F","C"))</x:f>
        <x:v>F</x:v>
      </x:c>
      <x:c r="I10" s="40"/>
      <x:c r="J10" s="85"/>
      <x:c r="K10" s="38" t="s">
        <x:v>25</x:v>
      </x:c>
      <x:c r="L10" s="18" t="str">
        <x:f>+VLOOKUP(Entradas3696[[#This Row],[Código]],Taller2585[],2,FALSE)</x:f>
        <x:v>CASCO BLANCO (ALTURAS)</x:v>
      </x:c>
      <x:c r="M10" s="17">
        <x:v>46057</x:v>
      </x:c>
      <x:c r="N10" s="21" t="n">
        <x:f>SUMIFS('R.E'!$E$2:$E$894,'R.E'!$B$2:$B$894,K10)+IFERROR(I10,0)</x:f>
        <x:v>3</x:v>
      </x:c>
      <x:c r="P10" s="38" t="s">
        <x:v>25</x:v>
      </x:c>
      <x:c r="Q10" s="18" t="str">
        <x:f>+VLOOKUP(Salidas47107[[#This Row],[Código]],Taller2585[],2,FALSE)</x:f>
        <x:v>CASCO BLANCO (ALTURAS)</x:v>
      </x:c>
      <x:c r="R10" s="21" t="n">
        <x:f>SUMIF('R.S'!$B$2:$B$947,P10,'R.S'!$F$2:$F$947)</x:f>
        <x:v>2</x:v>
      </x:c>
    </x:row>
    <x:row r="11" ht="25.5">
      <x:c r="B11" s="58" t="s">
        <x:v>27</x:v>
      </x:c>
      <x:c r="C11" s="61" t="s">
        <x:v>28</x:v>
      </x:c>
      <x:c r="D11" s="61" t="s">
        <x:v>20</x:v>
      </x:c>
      <x:c r="E11" s="36" t="n">
        <x:f t="shared" si="0">SUMIF($K$7:$K$64,B11,$N$7:$N$64)</x:f>
        <x:v>64</x:v>
      </x:c>
      <x:c r="F11" s="19" t="n">
        <x:f>SUMIF('R.S'!$B$2:$B$947,B11,'R.S'!$F$2:$F$947)</x:f>
        <x:v>50</x:v>
      </x:c>
      <x:c r="G11" s="36" t="n">
        <x:f t="shared" si="1">E11-F11</x:f>
        <x:v>14</x:v>
      </x:c>
      <x:c r="H11" s="62" t="str">
        <x:f t="shared" si="2">IF(G11&lt;1,"D",IF(G11&lt;2,"F","C"))</x:f>
        <x:v>C</x:v>
      </x:c>
      <x:c r="I11" s="40">
        <x:v>0</x:v>
      </x:c>
      <x:c r="J11" s="85"/>
      <x:c r="K11" s="33" t="s">
        <x:v>27</x:v>
      </x:c>
      <x:c r="L11" s="18" t="str">
        <x:f>+VLOOKUP(Entradas3696[[#This Row],[Código]],Taller2585[],2,FALSE)</x:f>
        <x:v>GAFAS LENTE OSCURO</x:v>
      </x:c>
      <x:c r="M11" s="17">
        <x:v>46056</x:v>
      </x:c>
      <x:c r="N11" s="21" t="n">
        <x:f>SUMIFS('R.E'!$E$2:$E$894,'R.E'!$B$2:$B$894,K11)+IFERROR(I11,0)</x:f>
        <x:v>64</x:v>
      </x:c>
      <x:c r="P11" s="16" t="s">
        <x:v>27</x:v>
      </x:c>
      <x:c r="Q11" s="18" t="str">
        <x:f>+VLOOKUP(Salidas47107[[#This Row],[Código]],Taller2585[],2,FALSE)</x:f>
        <x:v>GAFAS LENTE OSCURO</x:v>
      </x:c>
      <x:c r="R11" s="21" t="n">
        <x:f>SUMIF('R.S'!$B$2:$B$947,P11,'R.S'!$F$2:$F$947)</x:f>
        <x:v>50</x:v>
      </x:c>
    </x:row>
    <x:row r="12" ht="25.5">
      <x:c r="B12" s="58" t="s">
        <x:v>29</x:v>
      </x:c>
      <x:c r="C12" s="61" t="s">
        <x:v>30</x:v>
      </x:c>
      <x:c r="D12" s="61" t="s">
        <x:v>20</x:v>
      </x:c>
      <x:c r="E12" s="36" t="n">
        <x:f t="shared" si="0">SUMIF($K$7:$K$64,B12,$N$7:$N$64)</x:f>
        <x:v>85</x:v>
      </x:c>
      <x:c r="F12" s="19" t="n">
        <x:f>SUMIF('R.S'!$B$2:$B$947,B12,'R.S'!$F$2:$F$947)</x:f>
        <x:v>55</x:v>
      </x:c>
      <x:c r="G12" s="36" t="n">
        <x:f t="shared" si="1">E12-F12</x:f>
        <x:v>30</x:v>
      </x:c>
      <x:c r="H12" s="62" t="str">
        <x:f t="shared" si="2">IF(G12&lt;1,"D",IF(G12&lt;2,"F","C"))</x:f>
        <x:v>C</x:v>
      </x:c>
      <x:c r="I12" s="40">
        <x:v>26</x:v>
      </x:c>
      <x:c r="J12" s="85"/>
      <x:c r="K12" s="33" t="s">
        <x:v>29</x:v>
      </x:c>
      <x:c r="L12" s="18" t="str">
        <x:f>+VLOOKUP(Entradas3696[[#This Row],[Código]],Taller2585[],2,FALSE)</x:f>
        <x:v>GAFAS LENTE CLARO</x:v>
      </x:c>
      <x:c r="M12" s="17">
        <x:v>46056</x:v>
      </x:c>
      <x:c r="N12" s="21" t="n">
        <x:f>SUMIFS('R.E'!$E$2:$E$894,'R.E'!$B$2:$B$894,K12)+IFERROR(I12,0)</x:f>
        <x:v>85</x:v>
      </x:c>
      <x:c r="P12" s="16" t="s">
        <x:v>29</x:v>
      </x:c>
      <x:c r="Q12" s="18" t="str">
        <x:f>+VLOOKUP(Salidas47107[[#This Row],[Código]],Taller2585[],2,FALSE)</x:f>
        <x:v>GAFAS LENTE CLARO</x:v>
      </x:c>
      <x:c r="R12" s="21" t="n">
        <x:f>SUMIF('R.S'!$B$2:$B$947,P12,'R.S'!$F$2:$F$947)</x:f>
        <x:v>55</x:v>
      </x:c>
    </x:row>
    <x:row r="13" ht="25.5">
      <x:c r="B13" s="58" t="s">
        <x:v>31</x:v>
      </x:c>
      <x:c r="C13" s="13" t="s">
        <x:v>32</x:v>
      </x:c>
      <x:c r="D13" s="61" t="s">
        <x:v>20</x:v>
      </x:c>
      <x:c r="E13" s="36" t="n">
        <x:f t="shared" si="0">SUMIF($K$7:$K$64,B13,$N$7:$N$64)</x:f>
        <x:v>22</x:v>
      </x:c>
      <x:c r="F13" s="19" t="n">
        <x:f>SUMIF('R.S'!$B$2:$B$947,B13,'R.S'!$F$2:$F$947)</x:f>
        <x:v>7</x:v>
      </x:c>
      <x:c r="G13" s="36" t="n">
        <x:f t="shared" si="1">E13-F13</x:f>
        <x:v>15</x:v>
      </x:c>
      <x:c r="H13" s="62" t="str">
        <x:f t="shared" si="2">IF(G13&lt;1,"D",IF(G13&lt;2,"F","C"))</x:f>
        <x:v>C</x:v>
      </x:c>
      <x:c r="I13" s="40">
        <x:v>22</x:v>
      </x:c>
      <x:c r="J13" s="85"/>
      <x:c r="K13" s="33" t="s">
        <x:v>31</x:v>
      </x:c>
      <x:c r="L13" s="18" t="str">
        <x:f>+VLOOKUP(Entradas3696[[#This Row],[Código]],Taller2585[],2,FALSE)</x:f>
        <x:v>MONOGAFAS</x:v>
      </x:c>
      <x:c r="M13" s="17">
        <x:v>46038</x:v>
      </x:c>
      <x:c r="N13" s="21" t="n">
        <x:f>SUMIFS('R.E'!$E$2:$E$894,'R.E'!$B$2:$B$894,K13)+IFERROR(I13,0)</x:f>
        <x:v>22</x:v>
      </x:c>
      <x:c r="P13" s="16" t="s">
        <x:v>31</x:v>
      </x:c>
      <x:c r="Q13" s="18" t="str">
        <x:f>+VLOOKUP(Salidas47107[[#This Row],[Código]],Taller2585[],2,FALSE)</x:f>
        <x:v>MONOGAFAS</x:v>
      </x:c>
      <x:c r="R13" s="21" t="n">
        <x:f>SUMIF('R.S'!$B$2:$B$947,P13,'R.S'!$F$2:$F$947)</x:f>
        <x:v>7</x:v>
      </x:c>
    </x:row>
    <x:row r="14" ht="25.5">
      <x:c r="B14" s="67" t="s">
        <x:v>33</x:v>
      </x:c>
      <x:c r="C14" s="61" t="s">
        <x:v>34</x:v>
      </x:c>
      <x:c r="D14" s="61" t="s">
        <x:v>20</x:v>
      </x:c>
      <x:c r="E14" s="36" t="n">
        <x:f t="shared" si="0">SUMIF($K$7:$K$64,B14,$N$7:$N$64)</x:f>
        <x:v>1</x:v>
      </x:c>
      <x:c r="F14" s="19" t="n">
        <x:f>SUMIF('R.S'!$B$2:$B$947,B14,'R.S'!$F$2:$F$947)</x:f>
        <x:v>0</x:v>
      </x:c>
      <x:c r="G14" s="36" t="n">
        <x:f t="shared" si="1">E14-F14</x:f>
        <x:v>1</x:v>
      </x:c>
      <x:c r="H14" s="62" t="str">
        <x:f t="shared" si="2">IF(G14&lt;1,"D",IF(G14&lt;2,"F","C"))</x:f>
        <x:v>F</x:v>
      </x:c>
      <x:c r="I14" s="40">
        <x:v>1</x:v>
      </x:c>
      <x:c r="J14" s="85"/>
      <x:c r="K14" s="33" t="s">
        <x:v>33</x:v>
      </x:c>
      <x:c r="L14" s="18" t="str">
        <x:f>+VLOOKUP(Entradas3696[[#This Row],[Código]],Taller2585[],2,FALSE)</x:f>
        <x:v>CARETA PARA SOLDAR Y LENTE FOTOSENCIBLE</x:v>
      </x:c>
      <x:c r="M14" s="17">
        <x:v>46038</x:v>
      </x:c>
      <x:c r="N14" s="21" t="n">
        <x:f>SUMIFS('R.E'!$E$2:$E$894,'R.E'!$B$2:$B$894,K14)+IFERROR(I14,0)</x:f>
        <x:v>1</x:v>
      </x:c>
      <x:c r="P14" s="16" t="s">
        <x:v>33</x:v>
      </x:c>
      <x:c r="Q14" s="18" t="str">
        <x:f>+VLOOKUP(Salidas47107[[#This Row],[Código]],Taller2585[],2,FALSE)</x:f>
        <x:v>CARETA PARA SOLDAR Y LENTE FOTOSENCIBLE</x:v>
      </x:c>
      <x:c r="R14" s="21" t="n">
        <x:f>SUMIF('R.S'!$B$2:$B$947,P14,'R.S'!$F$2:$F$947)</x:f>
        <x:v>0</x:v>
      </x:c>
    </x:row>
    <x:row r="15" ht="25.5">
      <x:c r="B15" s="67" t="s">
        <x:v>35</x:v>
      </x:c>
      <x:c r="C15" s="61" t="s">
        <x:v>36</x:v>
      </x:c>
      <x:c r="D15" s="61" t="s">
        <x:v>20</x:v>
      </x:c>
      <x:c r="E15" s="36" t="n">
        <x:f t="shared" si="0">SUMIF($K$7:$K$64,B15,$N$7:$N$64)</x:f>
        <x:v>12</x:v>
      </x:c>
      <x:c r="F15" s="19" t="n">
        <x:f>SUMIF('R.S'!$B$2:$B$947,B15,'R.S'!$F$2:$F$947)</x:f>
        <x:v>2</x:v>
      </x:c>
      <x:c r="G15" s="36" t="n">
        <x:f t="shared" si="1">E15-F15</x:f>
        <x:v>10</x:v>
      </x:c>
      <x:c r="H15" s="62" t="str">
        <x:f t="shared" si="2">IF(G15&lt;1,"D",IF(G15&lt;2,"F","C"))</x:f>
        <x:v>C</x:v>
      </x:c>
      <x:c r="I15" s="40">
        <x:v>12</x:v>
      </x:c>
      <x:c r="J15" s="85"/>
      <x:c r="K15" s="33" t="s">
        <x:v>35</x:v>
      </x:c>
      <x:c r="L15" s="18" t="str">
        <x:f>+VLOOKUP(Entradas3696[[#This Row],[Código]],Taller2585[],2,FALSE)</x:f>
        <x:v>VISOR EN POLICARBONATO SIN RIBETE</x:v>
      </x:c>
      <x:c r="M15" s="17">
        <x:v>46038</x:v>
      </x:c>
      <x:c r="N15" s="21" t="n">
        <x:f>SUMIFS('R.E'!$E$2:$E$894,'R.E'!$B$2:$B$894,K15)+IFERROR(I15,0)</x:f>
        <x:v>12</x:v>
      </x:c>
      <x:c r="P15" s="16" t="s">
        <x:v>35</x:v>
      </x:c>
      <x:c r="Q15" s="18" t="str">
        <x:f>+VLOOKUP(Salidas47107[[#This Row],[Código]],Taller2585[],2,FALSE)</x:f>
        <x:v>VISOR EN POLICARBONATO SIN RIBETE</x:v>
      </x:c>
      <x:c r="R15" s="21" t="n">
        <x:f>SUMIF('R.S'!$B$2:$B$947,P15,'R.S'!$F$2:$F$947)</x:f>
        <x:v>2</x:v>
      </x:c>
    </x:row>
    <x:row r="16" s="24" customFormat="1" ht="25.5">
      <x:c r="B16" s="67" t="s">
        <x:v>37</x:v>
      </x:c>
      <x:c r="C16" s="61" t="s">
        <x:v>38</x:v>
      </x:c>
      <x:c r="D16" s="61" t="s">
        <x:v>20</x:v>
      </x:c>
      <x:c r="E16" s="36" t="n">
        <x:f t="shared" si="0">SUMIF($K$7:$K$64,B16,$N$7:$N$64)</x:f>
        <x:v>14</x:v>
      </x:c>
      <x:c r="F16" s="19" t="n">
        <x:f>SUMIF('R.S'!$B$2:$B$947,B16,'R.S'!$F$2:$F$947)</x:f>
        <x:v>8</x:v>
      </x:c>
      <x:c r="G16" s="36" t="n">
        <x:f t="shared" si="1">E16-F16</x:f>
        <x:v>6</x:v>
      </x:c>
      <x:c r="H16" s="62" t="str">
        <x:f t="shared" si="2">IF(G16&lt;1,"D",IF(G16&lt;2,"F","C"))</x:f>
        <x:v>C</x:v>
      </x:c>
      <x:c r="I16" s="40">
        <x:v>2</x:v>
      </x:c>
      <x:c r="J16" s="85"/>
      <x:c r="K16" s="33" t="s">
        <x:v>37</x:v>
      </x:c>
      <x:c r="L16" s="18" t="str">
        <x:f>+VLOOKUP(Entradas3696[[#This Row],[Código]],Taller2585[],2,FALSE)</x:f>
        <x:v>VISOR  MALLA GUADAÑA</x:v>
      </x:c>
      <x:c r="M16" s="17">
        <x:v>46038</x:v>
      </x:c>
      <x:c r="N16" s="21" t="n">
        <x:f>SUMIFS('R.E'!$E$2:$E$894,'R.E'!$B$2:$B$894,K16)+IFERROR(I16,0)</x:f>
        <x:v>14</x:v>
      </x:c>
      <x:c r="P16" s="37" t="s">
        <x:v>37</x:v>
      </x:c>
      <x:c r="Q16" s="18" t="str">
        <x:f>+VLOOKUP(Salidas47107[[#This Row],[Código]],Taller2585[],2,FALSE)</x:f>
        <x:v>VISOR  MALLA GUADAÑA</x:v>
      </x:c>
      <x:c r="R16" s="21" t="n">
        <x:f>SUMIF('R.S'!$B$2:$B$947,P16,'R.S'!$F$2:$F$947)</x:f>
        <x:v>8</x:v>
      </x:c>
    </x:row>
    <x:row r="17" s="24" customFormat="1" ht="25.5">
      <x:c r="B17" s="59" t="s">
        <x:v>39</x:v>
      </x:c>
      <x:c r="C17" s="61" t="s">
        <x:v>40</x:v>
      </x:c>
      <x:c r="D17" s="61" t="s">
        <x:v>41</x:v>
      </x:c>
      <x:c r="E17" s="36" t="n">
        <x:f t="shared" si="0">SUMIF($K$7:$K$64,B17,$N$7:$N$64)</x:f>
        <x:v>11</x:v>
      </x:c>
      <x:c r="F17" s="19" t="n">
        <x:f>SUMIF('R.S'!$B$2:$B$947,B17,'R.S'!$F$2:$F$947)</x:f>
        <x:v>5</x:v>
      </x:c>
      <x:c r="G17" s="36" t="n">
        <x:f t="shared" si="1">E17-F17</x:f>
        <x:v>6</x:v>
      </x:c>
      <x:c r="H17" s="62" t="str">
        <x:f t="shared" si="2">IF(G17&lt;1,"D",IF(G17&lt;2,"F","C"))</x:f>
        <x:v>C</x:v>
      </x:c>
      <x:c r="I17" s="41">
        <x:v>8</x:v>
      </x:c>
      <x:c r="J17" s="85"/>
      <x:c r="K17" s="30" t="s">
        <x:v>39</x:v>
      </x:c>
      <x:c r="L17" s="26" t="str">
        <x:f>+VLOOKUP(Entradas3696[[#This Row],[Código]],Taller2585[],2,FALSE)</x:f>
        <x:v>MASCARA RESPIRADOR MEDIA CARA 3M 6200 TM </x:v>
      </x:c>
      <x:c r="M17" s="17">
        <x:v>46038</x:v>
      </x:c>
      <x:c r="N17" s="21" t="n">
        <x:f>SUMIFS('R.E'!$E$2:$E$894,'R.E'!$B$2:$B$894,K17)+IFERROR(I17,0)</x:f>
        <x:v>11</x:v>
      </x:c>
      <x:c r="P17" s="25" t="s">
        <x:v>39</x:v>
      </x:c>
      <x:c r="Q17" s="26" t="str">
        <x:f>+VLOOKUP(Salidas47107[[#This Row],[Código]],Taller2585[],2,FALSE)</x:f>
        <x:v>MASCARA RESPIRADOR MEDIA CARA 3M 6200 TM </x:v>
      </x:c>
      <x:c r="R17" s="21" t="n">
        <x:f>SUMIF('R.S'!$B$2:$B$947,P17,'R.S'!$F$2:$F$947)</x:f>
        <x:v>5</x:v>
      </x:c>
    </x:row>
    <x:row r="18" s="24" customFormat="1" ht="25.5">
      <x:c r="B18" s="38" t="s">
        <x:v>42</x:v>
      </x:c>
      <x:c r="C18" s="61" t="s">
        <x:v>43</x:v>
      </x:c>
      <x:c r="D18" s="61" t="s">
        <x:v>41</x:v>
      </x:c>
      <x:c r="E18" s="36" t="n">
        <x:f t="shared" si="0">SUMIF($K$7:$K$64,B18,$N$7:$N$64)</x:f>
        <x:v>8</x:v>
      </x:c>
      <x:c r="F18" s="19" t="n">
        <x:f>SUMIF('R.S'!$B$2:$B$947,B18,'R.S'!$F$2:$F$947)</x:f>
        <x:v>7</x:v>
      </x:c>
      <x:c r="G18" s="36" t="n">
        <x:f t="shared" si="1">E18-F18</x:f>
        <x:v>1</x:v>
      </x:c>
      <x:c r="H18" s="62" t="str">
        <x:f t="shared" si="2">IF(G18&lt;1,"D",IF(G18&lt;2,"F","C"))</x:f>
        <x:v>F</x:v>
      </x:c>
      <x:c r="I18" s="41">
        <x:v>6</x:v>
      </x:c>
      <x:c r="J18" s="85"/>
      <x:c r="K18" s="30" t="s">
        <x:v>42</x:v>
      </x:c>
      <x:c r="L18" s="24" t="str">
        <x:f>+VLOOKUP(Entradas3696[[#This Row],[Código]],Taller2585[],2,FALSE)</x:f>
        <x:v>FILTROS PARA MASCARA 6003</x:v>
      </x:c>
      <x:c r="M18" s="17">
        <x:v>46038</x:v>
      </x:c>
      <x:c r="N18" s="21" t="n">
        <x:f>SUMIFS('R.E'!$E$2:$E$894,'R.E'!$B$2:$B$894,K18)+IFERROR(I18,0)</x:f>
        <x:v>8</x:v>
      </x:c>
      <x:c r="P18" s="25" t="s">
        <x:v>42</x:v>
      </x:c>
      <x:c r="Q18" s="24" t="str">
        <x:f>+VLOOKUP(Salidas47107[[#This Row],[Código]],Taller2585[],2,FALSE)</x:f>
        <x:v>FILTROS PARA MASCARA 6003</x:v>
      </x:c>
      <x:c r="R18" s="21" t="n">
        <x:f>SUMIF('R.S'!$B$2:$B$947,P18,'R.S'!$F$2:$F$947)</x:f>
        <x:v>7</x:v>
      </x:c>
    </x:row>
    <x:row r="19" s="24" customFormat="1" ht="25.5">
      <x:c r="B19" s="59" t="s">
        <x:v>44</x:v>
      </x:c>
      <x:c r="C19" s="61" t="s">
        <x:v>45</x:v>
      </x:c>
      <x:c r="D19" s="61" t="s">
        <x:v>20</x:v>
      </x:c>
      <x:c r="E19" s="36" t="n">
        <x:f t="shared" si="0">SUMIF($K$7:$K$64,B19,$N$7:$N$64)</x:f>
        <x:v>6</x:v>
      </x:c>
      <x:c r="F19" s="19" t="n">
        <x:f>SUMIF('R.S'!$B$2:$B$947,B19,'R.S'!$F$2:$F$947)</x:f>
        <x:v>0</x:v>
      </x:c>
      <x:c r="G19" s="36" t="n">
        <x:f t="shared" si="1">E19-F19</x:f>
        <x:v>6</x:v>
      </x:c>
      <x:c r="H19" s="62" t="str">
        <x:f t="shared" si="2">IF(G19&lt;1,"D",IF(G19&lt;2,"F","C"))</x:f>
        <x:v>C</x:v>
      </x:c>
      <x:c r="I19" s="41">
        <x:v>3</x:v>
      </x:c>
      <x:c r="J19" s="85"/>
      <x:c r="K19" s="30" t="s">
        <x:v>44</x:v>
      </x:c>
      <x:c r="L19" s="24" t="str">
        <x:f>+VLOOKUP(Entradas3696[[#This Row],[Código]],Taller2585[],2,FALSE)</x:f>
        <x:v>FILTROS PARA MASCARA 2097</x:v>
      </x:c>
      <x:c r="M19" s="17">
        <x:v>46038</x:v>
      </x:c>
      <x:c r="N19" s="21" t="n">
        <x:f>SUMIFS('R.E'!$E$2:$E$894,'R.E'!$B$2:$B$894,K19)+IFERROR(I19,0)</x:f>
        <x:v>6</x:v>
      </x:c>
      <x:c r="P19" s="25" t="s">
        <x:v>44</x:v>
      </x:c>
      <x:c r="Q19" s="24" t="str">
        <x:f>+VLOOKUP(Salidas47107[[#This Row],[Código]],Taller2585[],2,FALSE)</x:f>
        <x:v>FILTROS PARA MASCARA 2097</x:v>
      </x:c>
      <x:c r="R19" s="21" t="n">
        <x:f>SUMIF('R.S'!$B$2:$B$947,P19,'R.S'!$F$2:$F$947)</x:f>
        <x:v>0</x:v>
      </x:c>
    </x:row>
    <x:row r="20" s="24" customFormat="1" ht="25.5">
      <x:c r="B20" s="38" t="s">
        <x:v>46</x:v>
      </x:c>
      <x:c r="C20" s="61" t="s">
        <x:v>47</x:v>
      </x:c>
      <x:c r="D20" s="61" t="s">
        <x:v>20</x:v>
      </x:c>
      <x:c r="E20" s="36" t="n">
        <x:f t="shared" si="0">SUMIF($K$7:$K$64,B20,$N$7:$N$64)</x:f>
        <x:v>50</x:v>
      </x:c>
      <x:c r="F20" s="19" t="n">
        <x:f>SUMIF('R.S'!$B$2:$B$947,B20,'R.S'!$F$2:$F$947)</x:f>
        <x:v>14</x:v>
      </x:c>
      <x:c r="G20" s="36" t="n">
        <x:f t="shared" si="1">E20-F20</x:f>
        <x:v>36</x:v>
      </x:c>
      <x:c r="H20" s="62" t="str">
        <x:f t="shared" si="2">IF(G20&lt;1,"D",IF(G20&lt;2,"F","C"))</x:f>
        <x:v>C</x:v>
      </x:c>
      <x:c r="I20" s="41">
        <x:v>40</x:v>
      </x:c>
      <x:c r="J20" s="85"/>
      <x:c r="K20" s="30" t="s">
        <x:v>46</x:v>
      </x:c>
      <x:c r="L20" s="24" t="str">
        <x:f>+VLOOKUP(Entradas3696[[#This Row],[Código]],Taller2585[],2,FALSE)</x:f>
        <x:v>RESPIRADOR KN95</x:v>
      </x:c>
      <x:c r="M20" s="17">
        <x:v>46038</x:v>
      </x:c>
      <x:c r="N20" s="21" t="n">
        <x:f>SUMIFS('R.E'!$E$2:$E$894,'R.E'!$B$2:$B$894,K20)+IFERROR(I20,0)</x:f>
        <x:v>50</x:v>
      </x:c>
      <x:c r="P20" s="25" t="s">
        <x:v>46</x:v>
      </x:c>
      <x:c r="Q20" s="24" t="str">
        <x:f>+VLOOKUP(Salidas47107[[#This Row],[Código]],Taller2585[],2,FALSE)</x:f>
        <x:v>RESPIRADOR KN95</x:v>
      </x:c>
      <x:c r="R20" s="21" t="n">
        <x:f>SUMIF('R.S'!$B$2:$B$947,P20,'R.S'!$F$2:$F$947)</x:f>
        <x:v>14</x:v>
      </x:c>
      <x:c r="U20" s="27"/>
    </x:row>
    <x:row r="21" s="24" customFormat="1" ht="25.5">
      <x:c r="B21" s="59" t="s">
        <x:v>48</x:v>
      </x:c>
      <x:c r="C21" s="61" t="s">
        <x:v>49</x:v>
      </x:c>
      <x:c r="D21" s="61" t="s">
        <x:v>20</x:v>
      </x:c>
      <x:c r="E21" s="36" t="n">
        <x:f t="shared" si="0">SUMIF($K$7:$K$64,B21,$N$7:$N$64)</x:f>
        <x:v>89</x:v>
      </x:c>
      <x:c r="F21" s="19" t="n">
        <x:f>SUMIF('R.S'!$B$2:$B$947,B21,'R.S'!$F$2:$F$947)</x:f>
        <x:v>83</x:v>
      </x:c>
      <x:c r="G21" s="36" t="n">
        <x:f t="shared" si="1">E21-F21</x:f>
        <x:v>6</x:v>
      </x:c>
      <x:c r="H21" s="62" t="str">
        <x:f t="shared" si="2">IF(G21&lt;1,"D",IF(G21&lt;2,"F","C"))</x:f>
        <x:v>C</x:v>
      </x:c>
      <x:c r="I21" s="41">
        <x:v>89</x:v>
      </x:c>
      <x:c r="J21" s="85"/>
      <x:c r="K21" s="30" t="s">
        <x:v>48</x:v>
      </x:c>
      <x:c r="L21" s="24" t="str">
        <x:f>+VLOOKUP(Entradas3696[[#This Row],[Código]],Taller2585[],2,FALSE)</x:f>
        <x:v>TAPABOCAS DESECHABLE</x:v>
      </x:c>
      <x:c r="M21" s="17">
        <x:v>46038</x:v>
      </x:c>
      <x:c r="N21" s="21" t="n">
        <x:f>SUMIFS('R.E'!$E$2:$E$894,'R.E'!$B$2:$B$894,K21)+IFERROR(I21,0)</x:f>
        <x:v>89</x:v>
      </x:c>
      <x:c r="P21" s="25" t="s">
        <x:v>48</x:v>
      </x:c>
      <x:c r="Q21" s="24" t="str">
        <x:f>+VLOOKUP(Salidas47107[[#This Row],[Código]],Taller2585[],2,FALSE)</x:f>
        <x:v>TAPABOCAS DESECHABLE</x:v>
      </x:c>
      <x:c r="R21" s="21" t="n">
        <x:f>SUMIF('R.S'!$B$2:$B$947,P21,'R.S'!$F$2:$F$947)</x:f>
        <x:v>83</x:v>
      </x:c>
    </x:row>
    <x:row r="22" ht="25.5">
      <x:c r="B22" s="59" t="s">
        <x:v>50</x:v>
      </x:c>
      <x:c r="C22" s="61" t="s">
        <x:v>51</x:v>
      </x:c>
      <x:c r="D22" s="61" t="s">
        <x:v>20</x:v>
      </x:c>
      <x:c r="E22" s="36" t="n">
        <x:f t="shared" si="0">SUMIF($K$7:$K$64,B22,$N$7:$N$64)</x:f>
        <x:v>79</x:v>
      </x:c>
      <x:c r="F22" s="19" t="n">
        <x:f>SUMIF('R.S'!$B$2:$B$947,B22,'R.S'!$F$2:$F$947)</x:f>
        <x:v>63</x:v>
      </x:c>
      <x:c r="G22" s="36" t="n">
        <x:f t="shared" si="1">E22-F22</x:f>
        <x:v>16</x:v>
      </x:c>
      <x:c r="H22" s="62" t="str">
        <x:f t="shared" si="2">IF(G22&lt;1,"D",IF(G22&lt;2,"F","C"))</x:f>
        <x:v>C</x:v>
      </x:c>
      <x:c r="I22" s="41">
        <x:v>79</x:v>
      </x:c>
      <x:c r="J22" s="85"/>
      <x:c r="K22" s="30" t="s">
        <x:v>50</x:v>
      </x:c>
      <x:c r="L22" s="24" t="str">
        <x:f>+VLOOKUP(Entradas3696[[#This Row],[Código]],Taller2585[],2,FALSE)</x:f>
        <x:v>TAPABOCAS INDUSTRIAL NEGRO</x:v>
      </x:c>
      <x:c r="M22" s="17">
        <x:v>46038</x:v>
      </x:c>
      <x:c r="N22" s="21" t="n">
        <x:f>SUMIFS('R.E'!$E$2:$E$894,'R.E'!$B$2:$B$894,K22)+IFERROR(I22,0)</x:f>
        <x:v>79</x:v>
      </x:c>
      <x:c r="P22" s="25" t="s">
        <x:v>50</x:v>
      </x:c>
      <x:c r="Q22" s="24" t="str">
        <x:f>+VLOOKUP(Salidas47107[[#This Row],[Código]],Taller2585[],2,FALSE)</x:f>
        <x:v>TAPABOCAS INDUSTRIAL NEGRO</x:v>
      </x:c>
      <x:c r="R22" s="21" t="n">
        <x:f>SUMIF('R.S'!$B$2:$B$947,P22,'R.S'!$F$2:$F$947)</x:f>
        <x:v>63</x:v>
      </x:c>
    </x:row>
    <x:row r="23" ht="25.5">
      <x:c r="B23" s="59" t="s">
        <x:v>52</x:v>
      </x:c>
      <x:c r="C23" s="61" t="s">
        <x:v>53</x:v>
      </x:c>
      <x:c r="D23" s="61" t="s">
        <x:v>41</x:v>
      </x:c>
      <x:c r="E23" s="36" t="n">
        <x:f t="shared" si="0">SUMIF($K$7:$K$64,B23,$N$7:$N$64)</x:f>
        <x:v>175</x:v>
      </x:c>
      <x:c r="F23" s="19" t="n">
        <x:f>SUMIF('R.S'!$B$2:$B$947,B23,'R.S'!$F$2:$F$947)</x:f>
        <x:v>175</x:v>
      </x:c>
      <x:c r="G23" s="36" t="n">
        <x:f t="shared" si="1">E23-F23</x:f>
        <x:v>0</x:v>
      </x:c>
      <x:c r="H23" s="62" t="str">
        <x:f t="shared" si="2">IF(G23&lt;1,"D",IF(G23&lt;2,"F","C"))</x:f>
        <x:v>D</x:v>
      </x:c>
      <x:c r="I23" s="40">
        <x:v>0</x:v>
      </x:c>
      <x:c r="J23" s="85"/>
      <x:c r="K23" s="30" t="s">
        <x:v>52</x:v>
      </x:c>
      <x:c r="L23" t="str">
        <x:f>+VLOOKUP(Entradas3696[[#This Row],[Código]],Taller2585[],2,FALSE)</x:f>
        <x:v>GUANTES DE NITRILO TL</x:v>
      </x:c>
      <x:c r="M23" s="17">
        <x:v>46056</x:v>
      </x:c>
      <x:c r="N23" s="21" t="n">
        <x:f>SUMIFS('R.E'!$E$2:$E$894,'R.E'!$B$2:$B$894,K23)+IFERROR(I23,0)</x:f>
        <x:v>175</x:v>
      </x:c>
      <x:c r="P23" s="16" t="s">
        <x:v>52</x:v>
      </x:c>
      <x:c r="Q23" t="str">
        <x:f>+VLOOKUP(Salidas47107[[#This Row],[Código]],Taller2585[],2,FALSE)</x:f>
        <x:v>GUANTES DE NITRILO TL</x:v>
      </x:c>
      <x:c r="R23" s="21" t="n">
        <x:f>SUMIF('R.S'!$B$2:$B$947,P23,'R.S'!$F$2:$F$947)</x:f>
        <x:v>175</x:v>
      </x:c>
    </x:row>
    <x:row r="24" ht="25.5">
      <x:c r="B24" s="59" t="s">
        <x:v>54</x:v>
      </x:c>
      <x:c r="C24" s="61" t="s">
        <x:v>55</x:v>
      </x:c>
      <x:c r="D24" s="61" t="s">
        <x:v>41</x:v>
      </x:c>
      <x:c r="E24" s="36" t="n">
        <x:f t="shared" si="0">SUMIF($K$7:$K$64,B24,$N$7:$N$64)</x:f>
        <x:v>130</x:v>
      </x:c>
      <x:c r="F24" s="19" t="n">
        <x:f>SUMIF('R.S'!$B$2:$B$947,B24,'R.S'!$F$2:$F$947)</x:f>
        <x:v>80</x:v>
      </x:c>
      <x:c r="G24" s="36" t="n">
        <x:f t="shared" si="1">E24-F24</x:f>
        <x:v>50</x:v>
      </x:c>
      <x:c r="H24" s="62" t="str">
        <x:f t="shared" si="2">IF(G24&lt;1,"D",IF(G24&lt;2,"F","C"))</x:f>
        <x:v>C</x:v>
      </x:c>
      <x:c r="I24" s="40">
        <x:v>130</x:v>
      </x:c>
      <x:c r="J24" s="85"/>
      <x:c r="K24" s="30" t="s">
        <x:v>54</x:v>
      </x:c>
      <x:c r="L24" t="str">
        <x:f>+VLOOKUP(Entradas3696[[#This Row],[Código]],Taller2585[],2,FALSE)</x:f>
        <x:v>GUANTE LARGO USO VETERINARIO</x:v>
      </x:c>
      <x:c r="M24" s="17">
        <x:v>46038</x:v>
      </x:c>
      <x:c r="N24" s="21" t="n">
        <x:f>SUMIFS('R.E'!$E$2:$E$894,'R.E'!$B$2:$B$894,K24)+IFERROR(I24,0)</x:f>
        <x:v>130</x:v>
      </x:c>
      <x:c r="P24" s="16" t="s">
        <x:v>54</x:v>
      </x:c>
      <x:c r="Q24" t="str">
        <x:f>+VLOOKUP(Salidas47107[[#This Row],[Código]],Taller2585[],2,FALSE)</x:f>
        <x:v>GUANTE LARGO USO VETERINARIO</x:v>
      </x:c>
      <x:c r="R24" s="21" t="n">
        <x:f>SUMIF('R.S'!$B$2:$B$947,P24,'R.S'!$F$2:$F$947)</x:f>
        <x:v>80</x:v>
      </x:c>
    </x:row>
    <x:row r="25" ht="25.5">
      <x:c r="B25" s="59" t="s">
        <x:v>56</x:v>
      </x:c>
      <x:c r="C25" s="61" t="s">
        <x:v>57</x:v>
      </x:c>
      <x:c r="D25" s="61" t="s">
        <x:v>41</x:v>
      </x:c>
      <x:c r="E25" s="36" t="n">
        <x:f t="shared" si="0">SUMIF($K$7:$K$64,B25,$N$7:$N$64)</x:f>
        <x:v>4</x:v>
      </x:c>
      <x:c r="F25" s="19" t="n">
        <x:f>SUMIF('R.S'!$B$2:$B$947,B25,'R.S'!$F$2:$F$947)</x:f>
        <x:v>0</x:v>
      </x:c>
      <x:c r="G25" s="36" t="n">
        <x:f t="shared" si="1">E25-F25</x:f>
        <x:v>4</x:v>
      </x:c>
      <x:c r="H25" s="62" t="str">
        <x:f t="shared" si="2">IF(G25&lt;1,"D",IF(G25&lt;2,"F","C"))</x:f>
        <x:v>C</x:v>
      </x:c>
      <x:c r="I25" s="40">
        <x:v>4</x:v>
      </x:c>
      <x:c r="J25" s="85"/>
      <x:c r="K25" s="30" t="s">
        <x:v>56</x:v>
      </x:c>
      <x:c r="L25" t="str">
        <x:f>+VLOOKUP(Entradas3696[[#This Row],[Código]],Taller2585[],2,FALSE)</x:f>
        <x:v>GUANTE NITRILO PUÑO ABIERTO T9</x:v>
      </x:c>
      <x:c r="M25" s="17">
        <x:v>46038</x:v>
      </x:c>
      <x:c r="N25" s="21" t="n">
        <x:f>SUMIFS('R.E'!$E$2:$E$894,'R.E'!$B$2:$B$894,K25)+IFERROR(I25,0)</x:f>
        <x:v>4</x:v>
      </x:c>
      <x:c r="P25" s="16" t="s">
        <x:v>56</x:v>
      </x:c>
      <x:c r="Q25" t="str">
        <x:f>+VLOOKUP(Salidas47107[[#This Row],[Código]],Taller2585[],2,FALSE)</x:f>
        <x:v>GUANTE NITRILO PUÑO ABIERTO T9</x:v>
      </x:c>
      <x:c r="R25" s="21" t="n">
        <x:f>SUMIF('R.S'!$B$2:$B$947,P25,'R.S'!$F$2:$F$947)</x:f>
        <x:v>0</x:v>
      </x:c>
    </x:row>
    <x:row r="26" ht="25.5">
      <x:c r="B26" s="59" t="s">
        <x:v>58</x:v>
      </x:c>
      <x:c r="C26" s="61" t="s">
        <x:v>59</x:v>
      </x:c>
      <x:c r="D26" s="61" t="s">
        <x:v>41</x:v>
      </x:c>
      <x:c r="E26" s="36" t="n">
        <x:f t="shared" si="0">SUMIF($K$7:$K$64,B26,$N$7:$N$64)</x:f>
        <x:v>10</x:v>
      </x:c>
      <x:c r="F26" s="19" t="n">
        <x:f>SUMIF('R.S'!$B$2:$B$947,B26,'R.S'!$F$2:$F$947)</x:f>
        <x:v>9</x:v>
      </x:c>
      <x:c r="G26" s="36" t="n">
        <x:f t="shared" si="1">E26-F26</x:f>
        <x:v>1</x:v>
      </x:c>
      <x:c r="H26" s="62" t="str">
        <x:f t="shared" si="2">IF(G26&lt;1,"D",IF(G26&lt;2,"F","C"))</x:f>
        <x:v>F</x:v>
      </x:c>
      <x:c r="I26" s="42">
        <x:v>10</x:v>
      </x:c>
      <x:c r="J26" s="85"/>
      <x:c r="K26" s="30" t="s">
        <x:v>58</x:v>
      </x:c>
      <x:c r="L26" t="str">
        <x:f>+VLOOKUP(Entradas3696[[#This Row],[Código]],Taller2585[],2,FALSE)</x:f>
        <x:v>GUANTE INDUSTRIAL NITRILO CORTO T8</x:v>
      </x:c>
      <x:c r="M26" s="17">
        <x:v>46038</x:v>
      </x:c>
      <x:c r="N26" s="21" t="n">
        <x:f>SUMIFS('R.E'!$E$2:$E$894,'R.E'!$B$2:$B$894,K26)+IFERROR(I26,0)</x:f>
        <x:v>10</x:v>
      </x:c>
      <x:c r="P26" s="16" t="s">
        <x:v>58</x:v>
      </x:c>
      <x:c r="Q26" t="str">
        <x:f>+VLOOKUP(Salidas47107[[#This Row],[Código]],Taller2585[],2,FALSE)</x:f>
        <x:v>GUANTE INDUSTRIAL NITRILO CORTO T8</x:v>
      </x:c>
      <x:c r="R26" s="21" t="n">
        <x:f>SUMIF('R.S'!$B$2:$B$947,P26,'R.S'!$F$2:$F$947)</x:f>
        <x:v>9</x:v>
      </x:c>
    </x:row>
    <x:row r="27" ht="25.5">
      <x:c r="B27" s="59" t="s">
        <x:v>60</x:v>
      </x:c>
      <x:c r="C27" s="61" t="s">
        <x:v>61</x:v>
      </x:c>
      <x:c r="D27" s="61" t="s">
        <x:v>41</x:v>
      </x:c>
      <x:c r="E27" s="36" t="n">
        <x:f t="shared" si="0">SUMIF($K$7:$K$64,B27,$N$7:$N$64)</x:f>
        <x:v>8</x:v>
      </x:c>
      <x:c r="F27" s="19" t="n">
        <x:f>SUMIF('R.S'!$B$2:$B$947,B27,'R.S'!$F$2:$F$947)</x:f>
        <x:v>6</x:v>
      </x:c>
      <x:c r="G27" s="36" t="n">
        <x:f t="shared" si="1">E27-F27</x:f>
        <x:v>2</x:v>
      </x:c>
      <x:c r="H27" s="62" t="str">
        <x:f t="shared" si="2">IF(G27&lt;1,"D",IF(G27&lt;2,"F","C"))</x:f>
        <x:v>C</x:v>
      </x:c>
      <x:c r="I27" s="42">
        <x:v>8</x:v>
      </x:c>
      <x:c r="J27" s="85"/>
      <x:c r="K27" s="30" t="s">
        <x:v>60</x:v>
      </x:c>
      <x:c r="L27" t="str">
        <x:f>+VLOOKUP(Entradas3696[[#This Row],[Código]],Taller2585[],2,FALSE)</x:f>
        <x:v>GUANTE INDUSTRIAL NITRILO CORTO T9</x:v>
      </x:c>
      <x:c r="M27" s="17">
        <x:v>46038</x:v>
      </x:c>
      <x:c r="N27" s="21" t="n">
        <x:f>SUMIFS('R.E'!$E$2:$E$894,'R.E'!$B$2:$B$894,K27)+IFERROR(I27,0)</x:f>
        <x:v>8</x:v>
      </x:c>
      <x:c r="P27" s="16" t="s">
        <x:v>60</x:v>
      </x:c>
      <x:c r="Q27" t="str">
        <x:f>+VLOOKUP(Salidas47107[[#This Row],[Código]],Taller2585[],2,FALSE)</x:f>
        <x:v>GUANTE INDUSTRIAL NITRILO CORTO T9</x:v>
      </x:c>
      <x:c r="R27" s="21" t="n">
        <x:f>SUMIF('R.S'!$B$2:$B$947,P27,'R.S'!$F$2:$F$947)</x:f>
        <x:v>6</x:v>
      </x:c>
    </x:row>
    <x:row r="28" ht="25.5">
      <x:c r="B28" s="59" t="s">
        <x:v>62</x:v>
      </x:c>
      <x:c r="C28" s="61" t="s">
        <x:v>63</x:v>
      </x:c>
      <x:c r="D28" s="61" t="s">
        <x:v>41</x:v>
      </x:c>
      <x:c r="E28" s="36" t="n">
        <x:f t="shared" si="0">SUMIF($K$7:$K$64,B28,$N$7:$N$64)</x:f>
        <x:v>2</x:v>
      </x:c>
      <x:c r="F28" s="19" t="n">
        <x:f>SUMIF('R.S'!$B$2:$B$947,B28,'R.S'!$F$2:$F$947)</x:f>
        <x:v>2</x:v>
      </x:c>
      <x:c r="G28" s="36" t="n">
        <x:f t="shared" si="1">E28-F28</x:f>
        <x:v>0</x:v>
      </x:c>
      <x:c r="H28" s="62" t="str">
        <x:f t="shared" si="2">IF(G28&lt;1,"D",IF(G28&lt;2,"F","C"))</x:f>
        <x:v>D</x:v>
      </x:c>
      <x:c r="I28" s="42">
        <x:v>2</x:v>
      </x:c>
      <x:c r="J28" s="85"/>
      <x:c r="K28" s="30" t="s">
        <x:v>62</x:v>
      </x:c>
      <x:c r="L28" t="str">
        <x:f>+VLOOKUP(Entradas3696[[#This Row],[Código]],Taller2585[],2,FALSE)</x:f>
        <x:v>GUANTE INDUSTRIAL NITRILO LARGO T8</x:v>
      </x:c>
      <x:c r="M28" s="17">
        <x:v>46038</x:v>
      </x:c>
      <x:c r="N28" s="21" t="n">
        <x:f>SUMIFS('R.E'!$E$2:$E$894,'R.E'!$B$2:$B$894,K28)+IFERROR(I28,0)</x:f>
        <x:v>2</x:v>
      </x:c>
      <x:c r="P28" s="16" t="s">
        <x:v>62</x:v>
      </x:c>
      <x:c r="Q28" t="str">
        <x:f>+VLOOKUP(Salidas47107[[#This Row],[Código]],Taller2585[],2,FALSE)</x:f>
        <x:v>GUANTE INDUSTRIAL NITRILO LARGO T8</x:v>
      </x:c>
      <x:c r="R28" s="21" t="n">
        <x:f>SUMIF('R.S'!$B$2:$B$947,P28,'R.S'!$F$2:$F$947)</x:f>
        <x:v>2</x:v>
      </x:c>
    </x:row>
    <x:row r="29" ht="25.5">
      <x:c r="B29" s="59" t="s">
        <x:v>64</x:v>
      </x:c>
      <x:c r="C29" s="61" t="s">
        <x:v>65</x:v>
      </x:c>
      <x:c r="D29" s="61" t="s">
        <x:v>41</x:v>
      </x:c>
      <x:c r="E29" s="36" t="n">
        <x:f t="shared" si="0">SUMIF($K$7:$K$64,B29,$N$7:$N$64)</x:f>
        <x:v>19</x:v>
      </x:c>
      <x:c r="F29" s="19" t="n">
        <x:f>SUMIF('R.S'!$B$2:$B$947,B29,'R.S'!$F$2:$F$947)</x:f>
        <x:v>5</x:v>
      </x:c>
      <x:c r="G29" s="36" t="n">
        <x:f t="shared" si="1">E29-F29</x:f>
        <x:v>14</x:v>
      </x:c>
      <x:c r="H29" s="62" t="str">
        <x:f t="shared" si="2">IF(G29&lt;1,"D",IF(G29&lt;2,"F","C"))</x:f>
        <x:v>C</x:v>
      </x:c>
      <x:c r="I29" s="40">
        <x:v>19</x:v>
      </x:c>
      <x:c r="J29" s="85"/>
      <x:c r="K29" s="30" t="s">
        <x:v>64</x:v>
      </x:c>
      <x:c r="L29" t="str">
        <x:f>+VLOOKUP(Entradas3696[[#This Row],[Código]],Taller2585[],2,FALSE)</x:f>
        <x:v>GUANTE INDUSTRIAL NITRILO LARGO T9</x:v>
      </x:c>
      <x:c r="M29" s="17">
        <x:v>46038</x:v>
      </x:c>
      <x:c r="N29" s="21" t="n">
        <x:f>SUMIFS('R.E'!$E$2:$E$894,'R.E'!$B$2:$B$894,K29)+IFERROR(I29,0)</x:f>
        <x:v>19</x:v>
      </x:c>
      <x:c r="P29" s="16" t="s">
        <x:v>64</x:v>
      </x:c>
      <x:c r="Q29" t="str">
        <x:f>+VLOOKUP(Salidas47107[[#This Row],[Código]],Taller2585[],2,FALSE)</x:f>
        <x:v>GUANTE INDUSTRIAL NITRILO LARGO T9</x:v>
      </x:c>
      <x:c r="R29" s="21" t="n">
        <x:f>SUMIF('R.S'!$B$2:$B$947,P29,'R.S'!$F$2:$F$947)</x:f>
        <x:v>5</x:v>
      </x:c>
    </x:row>
    <x:row r="30" ht="25.5">
      <x:c r="B30" s="59" t="s">
        <x:v>66</x:v>
      </x:c>
      <x:c r="C30" s="61" t="s">
        <x:v>67</x:v>
      </x:c>
      <x:c r="D30" s="61" t="s">
        <x:v>41</x:v>
      </x:c>
      <x:c r="E30" s="36" t="n">
        <x:f t="shared" si="0">SUMIF($K$7:$K$64,B30,$N$7:$N$64)</x:f>
        <x:v>15</x:v>
      </x:c>
      <x:c r="F30" s="19" t="n">
        <x:f>SUMIF('R.S'!$B$2:$B$947,B30,'R.S'!$F$2:$F$947)</x:f>
        <x:v>0</x:v>
      </x:c>
      <x:c r="G30" s="36" t="n">
        <x:f t="shared" si="1">E30-F30</x:f>
        <x:v>15</x:v>
      </x:c>
      <x:c r="H30" s="62" t="str">
        <x:f t="shared" si="2">IF(G30&lt;1,"D",IF(G30&lt;2,"F","C"))</x:f>
        <x:v>C</x:v>
      </x:c>
      <x:c r="I30" s="40">
        <x:v>15</x:v>
      </x:c>
      <x:c r="J30" s="85"/>
      <x:c r="K30" s="30" t="s">
        <x:v>66</x:v>
      </x:c>
      <x:c r="L30" t="str">
        <x:f>+VLOOKUP(Entradas3696[[#This Row],[Código]],Taller2585[],2,FALSE)</x:f>
        <x:v>GUANTE INDUSTRIAL NITRILO LARGO T10</x:v>
      </x:c>
      <x:c r="M30" s="17">
        <x:v>46038</x:v>
      </x:c>
      <x:c r="N30" s="21" t="n">
        <x:f>SUMIFS('R.E'!$E$2:$E$894,'R.E'!$B$2:$B$894,K30)+IFERROR(I30,0)</x:f>
        <x:v>15</x:v>
      </x:c>
      <x:c r="P30" s="16" t="s">
        <x:v>66</x:v>
      </x:c>
      <x:c r="Q30" t="str">
        <x:f>+VLOOKUP(Salidas47107[[#This Row],[Código]],Taller2585[],2,FALSE)</x:f>
        <x:v>GUANTE INDUSTRIAL NITRILO LARGO T10</x:v>
      </x:c>
      <x:c r="R30" s="21" t="n">
        <x:f>SUMIF('R.S'!$B$2:$B$947,P30,'R.S'!$F$2:$F$947)</x:f>
        <x:v>0</x:v>
      </x:c>
    </x:row>
    <x:row r="31" ht="25.5">
      <x:c r="B31" s="59" t="s">
        <x:v>68</x:v>
      </x:c>
      <x:c r="C31" s="61" t="s">
        <x:v>69</x:v>
      </x:c>
      <x:c r="D31" s="61" t="s">
        <x:v>41</x:v>
      </x:c>
      <x:c r="E31" s="36" t="n">
        <x:f t="shared" si="0">SUMIF($K$7:$K$64,B31,$N$7:$N$64)</x:f>
        <x:v>13</x:v>
      </x:c>
      <x:c r="F31" s="19" t="n">
        <x:f>SUMIF('R.S'!$B$2:$B$947,B31,'R.S'!$F$2:$F$947)</x:f>
        <x:v>2</x:v>
      </x:c>
      <x:c r="G31" s="36" t="n">
        <x:f t="shared" si="1">E31-F31</x:f>
        <x:v>11</x:v>
      </x:c>
      <x:c r="H31" s="62" t="str">
        <x:f t="shared" si="2">IF(G31&lt;1,"D",IF(G31&lt;2,"F","C"))</x:f>
        <x:v>C</x:v>
      </x:c>
      <x:c r="I31" s="40">
        <x:v>13</x:v>
      </x:c>
      <x:c r="J31" s="85"/>
      <x:c r="K31" s="30" t="s">
        <x:v>68</x:v>
      </x:c>
      <x:c r="L31" t="str">
        <x:f>+VLOOKUP(Entradas3696[[#This Row],[Código]],Taller2585[],2,FALSE)</x:f>
        <x:v>GUANTE NITRILO DOMESTICO T8</x:v>
      </x:c>
      <x:c r="M31" s="17">
        <x:v>46038</x:v>
      </x:c>
      <x:c r="N31" s="21" t="n">
        <x:f>SUMIFS('R.E'!$E$2:$E$894,'R.E'!$B$2:$B$894,K31)+IFERROR(I31,0)</x:f>
        <x:v>13</x:v>
      </x:c>
      <x:c r="P31" s="16" t="s">
        <x:v>68</x:v>
      </x:c>
      <x:c r="Q31" t="str">
        <x:f>+VLOOKUP(Salidas47107[[#This Row],[Código]],Taller2585[],2,FALSE)</x:f>
        <x:v>GUANTE NITRILO DOMESTICO T8</x:v>
      </x:c>
      <x:c r="R31" s="21" t="n">
        <x:f>SUMIF('R.S'!$B$2:$B$947,P31,'R.S'!$F$2:$F$947)</x:f>
        <x:v>2</x:v>
      </x:c>
    </x:row>
    <x:row r="32" ht="25.5">
      <x:c r="B32" s="59" t="s">
        <x:v>70</x:v>
      </x:c>
      <x:c r="C32" s="61" t="s">
        <x:v>71</x:v>
      </x:c>
      <x:c r="D32" s="61" t="s">
        <x:v>41</x:v>
      </x:c>
      <x:c r="E32" s="36" t="n">
        <x:f t="shared" si="0">SUMIF($K$7:$K$64,B32,$N$7:$N$64)</x:f>
        <x:v>9</x:v>
      </x:c>
      <x:c r="F32" s="19" t="n">
        <x:f>SUMIF('R.S'!$B$2:$B$947,B32,'R.S'!$F$2:$F$947)</x:f>
        <x:v>1</x:v>
      </x:c>
      <x:c r="G32" s="36" t="n">
        <x:f t="shared" si="1">E32-F32</x:f>
        <x:v>8</x:v>
      </x:c>
      <x:c r="H32" s="62" t="str">
        <x:f t="shared" si="2">IF(G32&lt;1,"D",IF(G32&lt;2,"F","C"))</x:f>
        <x:v>C</x:v>
      </x:c>
      <x:c r="I32" s="42">
        <x:v>9</x:v>
      </x:c>
      <x:c r="J32" s="85"/>
      <x:c r="K32" s="30" t="s">
        <x:v>70</x:v>
      </x:c>
      <x:c r="L32" t="str">
        <x:f>+VLOOKUP(Entradas3696[[#This Row],[Código]],Taller2585[],2,FALSE)</x:f>
        <x:v>GUANTES DE VAQUETA CORTO T UNICA</x:v>
      </x:c>
      <x:c r="M32" s="17">
        <x:v>46038</x:v>
      </x:c>
      <x:c r="N32" s="21" t="n">
        <x:f>SUMIFS('R.E'!$E$2:$E$894,'R.E'!$B$2:$B$894,K32)+IFERROR(I32,0)</x:f>
        <x:v>9</x:v>
      </x:c>
      <x:c r="P32" s="16" t="s">
        <x:v>70</x:v>
      </x:c>
      <x:c r="Q32" t="str">
        <x:f>+VLOOKUP(Salidas47107[[#This Row],[Código]],Taller2585[],2,FALSE)</x:f>
        <x:v>GUANTES DE VAQUETA CORTO T UNICA</x:v>
      </x:c>
      <x:c r="R32" s="21" t="n">
        <x:f>SUMIF('R.S'!$B$2:$B$947,P32,'R.S'!$F$2:$F$947)</x:f>
        <x:v>1</x:v>
      </x:c>
    </x:row>
    <x:row r="33" ht="25.5">
      <x:c r="B33" s="59" t="s">
        <x:v>72</x:v>
      </x:c>
      <x:c r="C33" s="61" t="s">
        <x:v>73</x:v>
      </x:c>
      <x:c r="D33" s="61" t="s">
        <x:v>41</x:v>
      </x:c>
      <x:c r="E33" s="36" t="n">
        <x:f t="shared" si="0">SUMIF($K$7:$K$64,B33,$N$7:$N$64)</x:f>
        <x:v>3</x:v>
      </x:c>
      <x:c r="F33" s="19" t="n">
        <x:f>SUMIF('R.S'!$B$2:$B$947,B33,'R.S'!$F$2:$F$947)</x:f>
        <x:v>1</x:v>
      </x:c>
      <x:c r="G33" s="36" t="n">
        <x:f t="shared" si="1">E33-F33</x:f>
        <x:v>2</x:v>
      </x:c>
      <x:c r="H33" s="62" t="str">
        <x:f t="shared" si="2">IF(G33&lt;1,"D",IF(G33&lt;2,"F","C"))</x:f>
        <x:v>C</x:v>
      </x:c>
      <x:c r="I33" s="43">
        <x:v>3</x:v>
      </x:c>
      <x:c r="J33" s="85"/>
      <x:c r="K33" s="30" t="s">
        <x:v>72</x:v>
      </x:c>
      <x:c r="L33" t="str">
        <x:f>+VLOOKUP(Entradas3696[[#This Row],[Código]],Taller2585[],2,FALSE)</x:f>
        <x:v>GUANTE ANTIIMPACTO T9</x:v>
      </x:c>
      <x:c r="M33" s="17">
        <x:v>46038</x:v>
      </x:c>
      <x:c r="N33" s="21" t="n">
        <x:f>SUMIFS('R.E'!$E$2:$E$894,'R.E'!$B$2:$B$894,K33)+IFERROR(I33,0)</x:f>
        <x:v>3</x:v>
      </x:c>
      <x:c r="P33" s="16" t="s">
        <x:v>72</x:v>
      </x:c>
      <x:c r="Q33" t="str">
        <x:f>+VLOOKUP(Salidas47107[[#This Row],[Código]],Taller2585[],2,FALSE)</x:f>
        <x:v>GUANTE ANTIIMPACTO T9</x:v>
      </x:c>
      <x:c r="R33" s="21" t="n">
        <x:f>SUMIF('R.S'!$B$2:$B$947,P33,'R.S'!$F$2:$F$947)</x:f>
        <x:v>1</x:v>
      </x:c>
    </x:row>
    <x:row r="34" ht="25.5">
      <x:c r="B34" s="38" t="s">
        <x:v>74</x:v>
      </x:c>
      <x:c r="C34" s="61" t="s">
        <x:v>75</x:v>
      </x:c>
      <x:c r="D34" s="61" t="s">
        <x:v>41</x:v>
      </x:c>
      <x:c r="E34" s="36" t="n">
        <x:f t="shared" si="0">SUMIF($K$7:$K$64,B34,$N$7:$N$64)</x:f>
        <x:v>21</x:v>
      </x:c>
      <x:c r="F34" s="19" t="n">
        <x:f>SUMIF('R.S'!$B$2:$B$947,B34,'R.S'!$F$2:$F$947)</x:f>
        <x:v>10</x:v>
      </x:c>
      <x:c r="G34" s="36" t="n">
        <x:f t="shared" si="1">E34-F34</x:f>
        <x:v>11</x:v>
      </x:c>
      <x:c r="H34" s="62" t="str">
        <x:f t="shared" si="2">IF(G34&lt;1,"D",IF(G34&lt;2,"F","C"))</x:f>
        <x:v>C</x:v>
      </x:c>
      <x:c r="I34" s="42">
        <x:v>21</x:v>
      </x:c>
      <x:c r="J34" s="83"/>
      <x:c r="K34" s="30" t="s">
        <x:v>74</x:v>
      </x:c>
      <x:c r="L34" t="str">
        <x:f>+VLOOKUP(Entradas3696[[#This Row],[Código]],Taller2585[],2,FALSE)</x:f>
        <x:v>GUANTE ANTICORTE T9</x:v>
      </x:c>
      <x:c r="M34" s="17">
        <x:v>46038</x:v>
      </x:c>
      <x:c r="N34" s="21" t="n">
        <x:f>SUMIFS('R.E'!$E$2:$E$894,'R.E'!$B$2:$B$894,K34)+IFERROR(I34,0)</x:f>
        <x:v>21</x:v>
      </x:c>
      <x:c r="P34" s="16" t="s">
        <x:v>74</x:v>
      </x:c>
      <x:c r="Q34" t="str">
        <x:f>+VLOOKUP(Salidas47107[[#This Row],[Código]],Taller2585[],2,FALSE)</x:f>
        <x:v>GUANTE ANTICORTE T9</x:v>
      </x:c>
      <x:c r="R34" s="21" t="n">
        <x:f>SUMIF('R.S'!$B$2:$B$947,P34,'R.S'!$F$2:$F$947)</x:f>
        <x:v>10</x:v>
      </x:c>
    </x:row>
    <x:row r="35" ht="25.5">
      <x:c r="B35" s="59" t="s">
        <x:v>76</x:v>
      </x:c>
      <x:c r="C35" s="61" t="s">
        <x:v>77</x:v>
      </x:c>
      <x:c r="D35" s="61" t="s">
        <x:v>41</x:v>
      </x:c>
      <x:c r="E35" s="36" t="n">
        <x:f t="shared" si="0">SUMIF($K$7:$K$64,B35,$N$7:$N$64)</x:f>
        <x:v>34</x:v>
      </x:c>
      <x:c r="F35" s="19" t="n">
        <x:f>SUMIF('R.S'!$B$2:$B$947,B35,'R.S'!$F$2:$F$947)</x:f>
        <x:v>27</x:v>
      </x:c>
      <x:c r="G35" s="36" t="n">
        <x:f t="shared" si="1">E35-F35</x:f>
        <x:v>7</x:v>
      </x:c>
      <x:c r="H35" s="62" t="str">
        <x:f t="shared" si="2">IF(G35&lt;1,"D",IF(G35&lt;2,"F","C"))</x:f>
        <x:v>C</x:v>
      </x:c>
      <x:c r="I35" s="40">
        <x:v>14</x:v>
      </x:c>
      <x:c r="J35" s="83"/>
      <x:c r="K35" s="30" t="s">
        <x:v>76</x:v>
      </x:c>
      <x:c r="L35" t="str">
        <x:f>+VLOOKUP(Entradas3696[[#This Row],[Código]],Taller2585[],2,FALSE)</x:f>
        <x:v>GUANTE KIM- NITRILO ARENADO T8</x:v>
      </x:c>
      <x:c r="M35" s="17">
        <x:v>46038</x:v>
      </x:c>
      <x:c r="N35" s="21" t="n">
        <x:f>SUMIFS('R.E'!$E$2:$E$894,'R.E'!$B$2:$B$894,K35)+IFERROR(I35,0)</x:f>
        <x:v>34</x:v>
      </x:c>
      <x:c r="P35" s="16" t="s">
        <x:v>76</x:v>
      </x:c>
      <x:c r="Q35" t="str">
        <x:f>+VLOOKUP(Salidas47107[[#This Row],[Código]],Taller2585[],2,FALSE)</x:f>
        <x:v>GUANTE KIM- NITRILO ARENADO T8</x:v>
      </x:c>
      <x:c r="R35" s="21" t="n">
        <x:f>SUMIF('R.S'!$B$2:$B$947,P35,'R.S'!$F$2:$F$947)</x:f>
        <x:v>27</x:v>
      </x:c>
    </x:row>
    <x:row r="36" ht="25.149999618530273" customHeight="1">
      <x:c r="B36" s="59" t="s">
        <x:v>78</x:v>
      </x:c>
      <x:c r="C36" s="61" t="s">
        <x:v>79</x:v>
      </x:c>
      <x:c r="D36" s="61" t="s">
        <x:v>41</x:v>
      </x:c>
      <x:c r="E36" s="36" t="n">
        <x:f t="shared" si="0">SUMIF($K$7:$K$64,B36,$N$7:$N$64)</x:f>
        <x:v>162</x:v>
      </x:c>
      <x:c r="F36" s="19" t="n">
        <x:f>SUMIF('R.S'!$B$2:$B$947,B36,'R.S'!$F$2:$F$947)</x:f>
        <x:v>119</x:v>
      </x:c>
      <x:c r="G36" s="36" t="n">
        <x:f t="shared" si="1">E36-F36</x:f>
        <x:v>43</x:v>
      </x:c>
      <x:c r="H36" s="62" t="str">
        <x:f t="shared" si="2">IF(G36&lt;1,"D",IF(G36&lt;2,"F","C"))</x:f>
        <x:v>C</x:v>
      </x:c>
      <x:c r="I36" s="40">
        <x:v>1</x:v>
      </x:c>
      <x:c r="J36" s="83"/>
      <x:c r="K36" s="30" t="s">
        <x:v>78</x:v>
      </x:c>
      <x:c r="L36" t="str">
        <x:f>+VLOOKUP(Entradas3696[[#This Row],[Código]],Taller2585[],2,FALSE)</x:f>
        <x:v>GUANTE KIM- NITRILO ARENADO T9</x:v>
      </x:c>
      <x:c r="M36" s="17">
        <x:v>46056</x:v>
      </x:c>
      <x:c r="N36" s="21" t="n">
        <x:f>SUMIFS('R.E'!$E$2:$E$894,'R.E'!$B$2:$B$894,K36)+IFERROR(I36,0)</x:f>
        <x:v>162</x:v>
      </x:c>
      <x:c r="P36" s="16" t="s">
        <x:v>78</x:v>
      </x:c>
      <x:c r="Q36" t="str">
        <x:f>+VLOOKUP(Salidas47107[[#This Row],[Código]],Taller2585[],2,FALSE)</x:f>
        <x:v>GUANTE KIM- NITRILO ARENADO T9</x:v>
      </x:c>
      <x:c r="R36" s="21" t="n">
        <x:f>SUMIF('R.S'!$B$2:$B$947,P36,'R.S'!$F$2:$F$947)</x:f>
        <x:v>119</x:v>
      </x:c>
    </x:row>
    <x:row r="37" ht="25.5">
      <x:c r="B37" s="59" t="s">
        <x:v>80</x:v>
      </x:c>
      <x:c r="C37" s="61" t="s">
        <x:v>81</x:v>
      </x:c>
      <x:c r="D37" s="61" t="s">
        <x:v>20</x:v>
      </x:c>
      <x:c r="E37" s="36" t="n">
        <x:f t="shared" si="0">SUMIF($K$7:$K$64,B37,$N$7:$N$64)</x:f>
        <x:v>3</x:v>
      </x:c>
      <x:c r="F37" s="19" t="n">
        <x:f>SUMIF('R.S'!$B$2:$B$947,B37,'R.S'!$F$2:$F$947)</x:f>
        <x:v>1</x:v>
      </x:c>
      <x:c r="G37" s="36" t="n">
        <x:f t="shared" si="1">E37-F37</x:f>
        <x:v>2</x:v>
      </x:c>
      <x:c r="H37" s="62" t="str">
        <x:f t="shared" si="2">IF(G37&lt;1,"D",IF(G37&lt;2,"F","C"))</x:f>
        <x:v>C</x:v>
      </x:c>
      <x:c r="I37" s="40">
        <x:v>3</x:v>
      </x:c>
      <x:c r="J37" s="83"/>
      <x:c r="K37" s="30" t="s">
        <x:v>80</x:v>
      </x:c>
      <x:c r="L37" t="str">
        <x:f>+VLOOKUP(Entradas3696[[#This Row],[Código]],Taller2585[],2,FALSE)</x:f>
        <x:v>GUANTE PARA SOLDAR T10</x:v>
      </x:c>
      <x:c r="M37" s="17">
        <x:v>46038</x:v>
      </x:c>
      <x:c r="N37" s="21" t="n">
        <x:f>SUMIFS('R.E'!$E$2:$E$894,'R.E'!$B$2:$B$894,K37)+IFERROR(I37,0)</x:f>
        <x:v>3</x:v>
      </x:c>
      <x:c r="P37" s="16" t="s">
        <x:v>80</x:v>
      </x:c>
      <x:c r="Q37" t="str">
        <x:f>+VLOOKUP(Salidas47107[[#This Row],[Código]],Taller2585[],2,FALSE)</x:f>
        <x:v>GUANTE PARA SOLDAR T10</x:v>
      </x:c>
      <x:c r="R37" s="21" t="n">
        <x:f>SUMIF('R.S'!$B$2:$B$947,P37,'R.S'!$F$2:$F$947)</x:f>
        <x:v>1</x:v>
      </x:c>
    </x:row>
    <x:row r="38" ht="25.5" customHeight="1">
      <x:c r="B38" s="59" t="s">
        <x:v>82</x:v>
      </x:c>
      <x:c r="C38" s="61" t="s">
        <x:v>83</x:v>
      </x:c>
      <x:c r="D38" s="61" t="s">
        <x:v>41</x:v>
      </x:c>
      <x:c r="E38" s="36" t="n">
        <x:f t="shared" si="0">SUMIF($K$7:$K$64,B38,$N$7:$N$64)</x:f>
        <x:v>13</x:v>
      </x:c>
      <x:c r="F38" s="19" t="n">
        <x:f>SUMIF('R.S'!$B$2:$B$947,B38,'R.S'!$F$2:$F$947)</x:f>
        <x:v>10</x:v>
      </x:c>
      <x:c r="G38" s="36" t="n">
        <x:f t="shared" si="1">E38-F38</x:f>
        <x:v>3</x:v>
      </x:c>
      <x:c r="H38" s="62" t="str">
        <x:f t="shared" si="2">IF(G38&lt;1,"D",IF(G38&lt;2,"F","C"))</x:f>
        <x:v>C</x:v>
      </x:c>
      <x:c r="I38" s="42"/>
      <x:c r="J38" s="83"/>
      <x:c r="K38" s="36" t="s">
        <x:v>82</x:v>
      </x:c>
      <x:c r="L38" s="46" t="s">
        <x:v>83</x:v>
      </x:c>
      <x:c r="M38" s="17">
        <x:v>46056</x:v>
      </x:c>
      <x:c r="N38" s="21" t="n">
        <x:f>SUMIFS('R.E'!$E$2:$E$894,'R.E'!$B$2:$B$894,K38)+IFERROR(I38,0)</x:f>
        <x:v>13</x:v>
      </x:c>
      <x:c r="P38" s="16" t="s">
        <x:v>82</x:v>
      </x:c>
      <x:c r="Q38" s="46" t="s">
        <x:v>83</x:v>
      </x:c>
      <x:c r="R38" s="51" t="n">
        <x:f>SUMIF('R.S'!$B$2:$B$947,P38,'R.S'!$F$2:$F$947)</x:f>
        <x:v>10</x:v>
      </x:c>
    </x:row>
    <x:row r="39" ht="25.5">
      <x:c r="B39" s="60" t="s">
        <x:v>84</x:v>
      </x:c>
      <x:c r="C39" s="61" t="s">
        <x:v>85</x:v>
      </x:c>
      <x:c r="D39" s="61" t="s">
        <x:v>41</x:v>
      </x:c>
      <x:c r="E39" s="36" t="n">
        <x:f t="shared" ref="E39:E64" si="3">SUMIF($K$7:$K$64,B39,$N$7:$N$64)</x:f>
        <x:v>50</x:v>
      </x:c>
      <x:c r="F39" s="19" t="n">
        <x:f>SUMIF('R.S'!$B$2:$B$947,B39,'R.S'!$F$2:$F$947)</x:f>
        <x:v>0</x:v>
      </x:c>
      <x:c r="G39" s="36" t="n">
        <x:f t="shared" ref="G39:G64" si="4">E39-F39</x:f>
        <x:v>50</x:v>
      </x:c>
      <x:c r="H39" s="62" t="str">
        <x:f t="shared" ref="H39:H64" si="5">IF(G39&lt;1,"D",IF(G39&lt;2,"F","C"))</x:f>
        <x:v>C</x:v>
      </x:c>
      <x:c r="I39" s="42"/>
      <x:c r="J39" s="83"/>
      <x:c r="K39" s="36" t="s">
        <x:v>84</x:v>
      </x:c>
      <x:c r="L39" s="46" t="s">
        <x:v>85</x:v>
      </x:c>
      <x:c r="M39" s="17">
        <x:v>46056</x:v>
      </x:c>
      <x:c r="N39" s="21" t="n">
        <x:f>SUMIFS('R.E'!$E$2:$E$894,'R.E'!$B$2:$B$894,K39)+IFERROR(I39,0)</x:f>
        <x:v>50</x:v>
      </x:c>
      <x:c r="P39" s="16" t="s">
        <x:v>84</x:v>
      </x:c>
      <x:c r="Q39" s="46" t="s">
        <x:v>85</x:v>
      </x:c>
      <x:c r="R39" s="51" t="n">
        <x:f>SUMIF('R.S'!$B$2:$B$947,P39,'R.S'!$F$2:$F$947)</x:f>
        <x:v>0</x:v>
      </x:c>
    </x:row>
    <x:row r="40" ht="25.5">
      <x:c r="B40" s="68" t="s">
        <x:v>86</x:v>
      </x:c>
      <x:c r="C40" s="61" t="s">
        <x:v>87</x:v>
      </x:c>
      <x:c r="D40" s="61" t="s">
        <x:v>41</x:v>
      </x:c>
      <x:c r="E40" s="36" t="n">
        <x:f t="shared" si="3">SUMIF($K$7:$K$64,B40,$N$7:$N$64)</x:f>
        <x:v>20</x:v>
      </x:c>
      <x:c r="F40" s="19" t="n">
        <x:f>SUMIF('R.S'!$B$2:$B$947,B40,'R.S'!$F$2:$F$947)</x:f>
        <x:v>18</x:v>
      </x:c>
      <x:c r="G40" s="36" t="n">
        <x:f t="shared" si="4">E40-F40</x:f>
        <x:v>2</x:v>
      </x:c>
      <x:c r="H40" s="62" t="str">
        <x:f t="shared" si="5">IF(G40&lt;1,"D",IF(G40&lt;2,"F","C"))</x:f>
        <x:v>C</x:v>
      </x:c>
      <x:c r="I40" s="42"/>
      <x:c r="J40" s="83"/>
      <x:c r="K40" s="58" t="s">
        <x:v>86</x:v>
      </x:c>
      <x:c r="L40" t="str">
        <x:f>+VLOOKUP(Entradas3696[[#This Row],[Código]],Taller2585[],2,FALSE)</x:f>
        <x:v>GUANTE KIM- NITRILO ARENADO T10</x:v>
      </x:c>
      <x:c r="M40" s="17">
        <x:v>46056</x:v>
      </x:c>
      <x:c r="N40" s="21" t="n">
        <x:f>SUMIFS('R.E'!$E$2:$E$894,'R.E'!$B$2:$B$894,K40)+IFERROR(I40,0)</x:f>
        <x:v>20</x:v>
      </x:c>
      <x:c r="P40" s="58" t="s">
        <x:v>86</x:v>
      </x:c>
      <x:c r="Q40" t="str">
        <x:f>+VLOOKUP(Salidas47107[[#This Row],[Código]],Taller2585[],2,FALSE)</x:f>
        <x:v>GUANTE KIM- NITRILO ARENADO T10</x:v>
      </x:c>
      <x:c r="R40" s="21" t="n">
        <x:f>SUMIF('R.S'!$B$2:$B$947,P40,'R.S'!$F$2:$F$947)</x:f>
        <x:v>18</x:v>
      </x:c>
    </x:row>
    <x:row r="41" ht="25.5">
      <x:c r="B41" s="68" t="s">
        <x:v>88</x:v>
      </x:c>
      <x:c r="C41" s="61" t="s">
        <x:v>89</x:v>
      </x:c>
      <x:c r="D41" s="61" t="s">
        <x:v>20</x:v>
      </x:c>
      <x:c r="E41" s="36" t="n">
        <x:f t="shared" si="3">SUMIF($K$7:$K$64,B41,$N$7:$N$64)</x:f>
        <x:v>54</x:v>
      </x:c>
      <x:c r="F41" s="19" t="n">
        <x:f>SUMIF('R.S'!$B$2:$B$947,B41,'R.S'!$F$2:$F$947)</x:f>
        <x:v>21</x:v>
      </x:c>
      <x:c r="G41" s="36" t="n">
        <x:f t="shared" si="4">E41-F41</x:f>
        <x:v>33</x:v>
      </x:c>
      <x:c r="H41" s="62" t="str">
        <x:f t="shared" si="5">IF(G41&lt;1,"D",IF(G41&lt;2,"F","C"))</x:f>
        <x:v>C</x:v>
      </x:c>
      <x:c r="I41" s="42">
        <x:v>44</x:v>
      </x:c>
      <x:c r="J41" s="83"/>
      <x:c r="K41" s="33" t="s">
        <x:v>88</x:v>
      </x:c>
      <x:c r="L41" t="str">
        <x:f>+VLOOKUP(Entradas3696[[#This Row],[Código]],Taller2585[],2,FALSE)</x:f>
        <x:v>PROTECTOR AUDITIVO INSERCIÓN</x:v>
      </x:c>
      <x:c r="M41" s="17">
        <x:v>46056</x:v>
      </x:c>
      <x:c r="N41" s="21" t="n">
        <x:f>SUMIFS('R.E'!$E$2:$E$894,'R.E'!$B$2:$B$894,K41)+IFERROR(I41,0)</x:f>
        <x:v>54</x:v>
      </x:c>
      <x:c r="P41" s="16" t="s">
        <x:v>88</x:v>
      </x:c>
      <x:c r="Q41" t="str">
        <x:f>+VLOOKUP(Salidas47107[[#This Row],[Código]],Taller2585[],2,FALSE)</x:f>
        <x:v>PROTECTOR AUDITIVO INSERCIÓN</x:v>
      </x:c>
      <x:c r="R41" s="21" t="n">
        <x:f>SUMIF('R.S'!$B$2:$B$947,P41,'R.S'!$F$2:$F$947)</x:f>
        <x:v>21</x:v>
      </x:c>
    </x:row>
    <x:row r="42" ht="25.5">
      <x:c r="B42" s="45" t="s">
        <x:v>90</x:v>
      </x:c>
      <x:c r="C42" s="61" t="s">
        <x:v>91</x:v>
      </x:c>
      <x:c r="D42" s="61" t="s">
        <x:v>20</x:v>
      </x:c>
      <x:c r="E42" s="36" t="n">
        <x:f t="shared" si="3">SUMIF($K$7:$K$64,B42,$N$7:$N$64)</x:f>
        <x:v>15</x:v>
      </x:c>
      <x:c r="F42" s="19" t="n">
        <x:f>SUMIF('R.S'!$B$2:$B$947,B42,'R.S'!$F$2:$F$947)</x:f>
        <x:v>10</x:v>
      </x:c>
      <x:c r="G42" s="36" t="n">
        <x:f t="shared" si="4">E42-F42</x:f>
        <x:v>5</x:v>
      </x:c>
      <x:c r="H42" s="62" t="str">
        <x:f t="shared" si="5">IF(G42&lt;1,"D",IF(G42&lt;2,"F","C"))</x:f>
        <x:v>C</x:v>
      </x:c>
      <x:c r="I42" s="42">
        <x:v>11</x:v>
      </x:c>
      <x:c r="J42" s="83"/>
      <x:c r="K42" s="47" t="s">
        <x:v>90</x:v>
      </x:c>
      <x:c r="L42" t="str">
        <x:f>+VLOOKUP(Entradas3696[[#This Row],[Código]],Taller2585[],2,FALSE)</x:f>
        <x:v>PROTECTOR AUDITIVO COPA</x:v>
      </x:c>
      <x:c r="M42" s="17">
        <x:v>46056</x:v>
      </x:c>
      <x:c r="N42" s="21" t="n">
        <x:f>SUMIFS('R.E'!$E$2:$E$894,'R.E'!$B$2:$B$894,K42)+IFERROR(I42,0)</x:f>
        <x:v>15</x:v>
      </x:c>
      <x:c r="P42" s="16" t="s">
        <x:v>90</x:v>
      </x:c>
      <x:c r="Q42" t="str">
        <x:f>+VLOOKUP(Salidas47107[[#This Row],[Código]],Taller2585[],2,FALSE)</x:f>
        <x:v>PROTECTOR AUDITIVO COPA</x:v>
      </x:c>
      <x:c r="R42" s="21" t="n">
        <x:f>SUMIF('R.S'!$B$2:$B$947,P42,'R.S'!$F$2:$F$947)</x:f>
        <x:v>10</x:v>
      </x:c>
    </x:row>
    <x:row r="43" ht="25.5">
      <x:c r="B43" s="68" t="s">
        <x:v>92</x:v>
      </x:c>
      <x:c r="C43" s="61" t="s">
        <x:v>93</x:v>
      </x:c>
      <x:c r="D43" s="61" t="s">
        <x:v>41</x:v>
      </x:c>
      <x:c r="E43" s="36" t="n">
        <x:f t="shared" si="3">SUMIF($K$7:$K$64,B43,$N$7:$N$64)</x:f>
        <x:v>4</x:v>
      </x:c>
      <x:c r="F43" s="19" t="n">
        <x:f>SUMIF('R.S'!$B$2:$B$947,B43,'R.S'!$F$2:$F$947)</x:f>
        <x:v>1</x:v>
      </x:c>
      <x:c r="G43" s="36" t="n">
        <x:f t="shared" si="4">E43-F43</x:f>
        <x:v>3</x:v>
      </x:c>
      <x:c r="H43" s="62" t="str">
        <x:f t="shared" si="5">IF(G43&lt;1,"D",IF(G43&lt;2,"F","C"))</x:f>
        <x:v>C</x:v>
      </x:c>
      <x:c r="I43" s="42">
        <x:v>3</x:v>
      </x:c>
      <x:c r="J43" s="83"/>
      <x:c r="K43" s="34" t="s">
        <x:v>92</x:v>
      </x:c>
      <x:c r="L43" t="str">
        <x:f>+VLOOKUP(Entradas3696[[#This Row],[Código]],Taller2585[],2,FALSE)</x:f>
        <x:v>CANILLERA CORTA </x:v>
      </x:c>
      <x:c r="M43" s="17">
        <x:v>46038</x:v>
      </x:c>
      <x:c r="N43" s="21" t="n">
        <x:f>SUMIFS('R.E'!$E$2:$E$894,'R.E'!$B$2:$B$894,K43)+IFERROR(I43,0)</x:f>
        <x:v>4</x:v>
      </x:c>
      <x:c r="P43" s="16" t="s">
        <x:v>92</x:v>
      </x:c>
      <x:c r="Q43" t="str">
        <x:f>+VLOOKUP(Salidas47107[[#This Row],[Código]],Taller2585[],2,FALSE)</x:f>
        <x:v>CANILLERA CORTA </x:v>
      </x:c>
      <x:c r="R43" s="21" t="n">
        <x:f>SUMIF('R.S'!$B$2:$B$947,P43,'R.S'!$F$2:$F$947)</x:f>
        <x:v>1</x:v>
      </x:c>
    </x:row>
    <x:row r="44" ht="25.5">
      <x:c r="B44" s="70" t="s">
        <x:v>94</x:v>
      </x:c>
      <x:c r="C44" s="61" t="s">
        <x:v>95</x:v>
      </x:c>
      <x:c r="D44" s="61" t="s">
        <x:v>41</x:v>
      </x:c>
      <x:c r="E44" s="36" t="n">
        <x:f t="shared" si="3">SUMIF($K$7:$K$64,B44,$N$7:$N$64)</x:f>
        <x:v>1</x:v>
      </x:c>
      <x:c r="F44" s="19" t="n">
        <x:f>SUMIF('R.S'!$B$2:$B$947,B44,'R.S'!$F$2:$F$947)</x:f>
        <x:v>0</x:v>
      </x:c>
      <x:c r="G44" s="36" t="n">
        <x:f t="shared" si="4">E44-F44</x:f>
        <x:v>1</x:v>
      </x:c>
      <x:c r="H44" s="62" t="str">
        <x:f t="shared" si="5">IF(G44&lt;1,"D",IF(G44&lt;2,"F","C"))</x:f>
        <x:v>F</x:v>
      </x:c>
      <x:c r="I44" s="42">
        <x:v>1</x:v>
      </x:c>
      <x:c r="J44" s="83"/>
      <x:c r="K44" s="35" t="s">
        <x:v>94</x:v>
      </x:c>
      <x:c r="L44" t="str">
        <x:f>+VLOOKUP(Entradas3696[[#This Row],[Código]],Taller2585[],2,FALSE)</x:f>
        <x:v>MANGAS EN CARNAZA T UNICA</x:v>
      </x:c>
      <x:c r="M44" s="17">
        <x:v>46038</x:v>
      </x:c>
      <x:c r="N44" s="21" t="n">
        <x:f>SUMIFS('R.E'!$E$2:$E$894,'R.E'!$B$2:$B$894,K44)+IFERROR(I44,0)</x:f>
        <x:v>1</x:v>
      </x:c>
      <x:c r="P44" s="16" t="s">
        <x:v>94</x:v>
      </x:c>
      <x:c r="Q44" t="str">
        <x:f>+VLOOKUP(Salidas47107[[#This Row],[Código]],Taller2585[],2,FALSE)</x:f>
        <x:v>MANGAS EN CARNAZA T UNICA</x:v>
      </x:c>
      <x:c r="R44" s="21" t="n">
        <x:f>SUMIF('R.S'!$B$2:$B$947,P44,'R.S'!$F$2:$F$947)</x:f>
        <x:v>0</x:v>
      </x:c>
    </x:row>
    <x:row r="45" ht="25.5">
      <x:c r="B45" s="68" t="s">
        <x:v>96</x:v>
      </x:c>
      <x:c r="C45" s="61" t="s">
        <x:v>97</x:v>
      </x:c>
      <x:c r="D45" s="61" t="s">
        <x:v>20</x:v>
      </x:c>
      <x:c r="E45" s="36" t="n">
        <x:f t="shared" si="3">SUMIF($K$7:$K$64,B45,$N$7:$N$64)</x:f>
        <x:v>6</x:v>
      </x:c>
      <x:c r="F45" s="19" t="n">
        <x:f>SUMIF('R.S'!$B$2:$B$947,B45,'R.S'!$F$2:$F$947)</x:f>
        <x:v>0</x:v>
      </x:c>
      <x:c r="G45" s="36" t="n">
        <x:f t="shared" si="4">E45-F45</x:f>
        <x:v>6</x:v>
      </x:c>
      <x:c r="H45" s="62" t="str">
        <x:f t="shared" si="5">IF(G45&lt;1,"D",IF(G45&lt;2,"F","C"))</x:f>
        <x:v>C</x:v>
      </x:c>
      <x:c r="I45" s="42">
        <x:v>6</x:v>
      </x:c>
      <x:c r="J45" s="83"/>
      <x:c r="K45" s="34" t="s">
        <x:v>96</x:v>
      </x:c>
      <x:c r="L45" t="str">
        <x:f>+VLOOKUP(Entradas3696[[#This Row],[Código]],Taller2585[],2,FALSE)</x:f>
        <x:v>POLAINA EN CARNAZA T UNICA</x:v>
      </x:c>
      <x:c r="M45" s="17">
        <x:v>46038</x:v>
      </x:c>
      <x:c r="N45" s="21" t="n">
        <x:f>SUMIFS('R.E'!$E$2:$E$894,'R.E'!$B$2:$B$894,K45)+IFERROR(I45,0)</x:f>
        <x:v>6</x:v>
      </x:c>
      <x:c r="P45" s="16" t="s">
        <x:v>96</x:v>
      </x:c>
      <x:c r="Q45" t="str">
        <x:f>+VLOOKUP(Salidas47107[[#This Row],[Código]],Taller2585[],2,FALSE)</x:f>
        <x:v>POLAINA EN CARNAZA T UNICA</x:v>
      </x:c>
      <x:c r="R45" s="21" t="n">
        <x:f>SUMIF('R.S'!$B$2:$B$947,P45,'R.S'!$F$2:$F$947)</x:f>
        <x:v>0</x:v>
      </x:c>
    </x:row>
    <x:row r="46" ht="25.5">
      <x:c r="B46" s="70" t="s">
        <x:v>98</x:v>
      </x:c>
      <x:c r="C46" s="61" t="s">
        <x:v>99</x:v>
      </x:c>
      <x:c r="D46" s="61" t="s">
        <x:v>20</x:v>
      </x:c>
      <x:c r="E46" s="36" t="n">
        <x:f t="shared" si="3">SUMIF($K$7:$K$64,B46,$N$7:$N$64)</x:f>
        <x:v>2</x:v>
      </x:c>
      <x:c r="F46" s="19" t="n">
        <x:f>SUMIF('R.S'!$B$2:$B$947,B46,'R.S'!$F$2:$F$947)</x:f>
        <x:v>1</x:v>
      </x:c>
      <x:c r="G46" s="36" t="n">
        <x:f t="shared" si="4">E46-F46</x:f>
        <x:v>1</x:v>
      </x:c>
      <x:c r="H46" s="62" t="str">
        <x:f t="shared" si="5">IF(G46&lt;1,"D",IF(G46&lt;2,"F","C"))</x:f>
        <x:v>F</x:v>
      </x:c>
      <x:c r="I46" s="42">
        <x:v>0</x:v>
      </x:c>
      <x:c r="J46" s="83"/>
      <x:c r="K46" s="35" t="s">
        <x:v>98</x:v>
      </x:c>
      <x:c r="L46" t="str">
        <x:f>+VLOOKUP(Entradas3696[[#This Row],[Código]],Taller2585[],2,FALSE)</x:f>
        <x:v>DELANTAL DE CARNAZA T UNICA</x:v>
      </x:c>
      <x:c r="M46" s="17">
        <x:v>46056</x:v>
      </x:c>
      <x:c r="N46" s="21" t="n">
        <x:f>SUMIFS('R.E'!$E$2:$E$894,'R.E'!$B$2:$B$894,K46)+IFERROR(I46,0)</x:f>
        <x:v>2</x:v>
      </x:c>
      <x:c r="P46" s="16" t="s">
        <x:v>98</x:v>
      </x:c>
      <x:c r="Q46" t="str">
        <x:f>+VLOOKUP(Salidas47107[[#This Row],[Código]],Taller2585[],2,FALSE)</x:f>
        <x:v>DELANTAL DE CARNAZA T UNICA</x:v>
      </x:c>
      <x:c r="R46" s="21" t="n">
        <x:f>SUMIF('R.S'!$B$2:$B$947,P46,'R.S'!$F$2:$F$947)</x:f>
        <x:v>1</x:v>
      </x:c>
    </x:row>
    <x:row r="47" ht="25.5">
      <x:c r="B47" s="68" t="s">
        <x:v>100</x:v>
      </x:c>
      <x:c r="C47" s="61" t="s">
        <x:v>101</x:v>
      </x:c>
      <x:c r="D47" s="61" t="s">
        <x:v>20</x:v>
      </x:c>
      <x:c r="E47" s="36" t="n">
        <x:f t="shared" si="3">SUMIF($K$7:$K$64,B47,$N$7:$N$64)</x:f>
        <x:v>19</x:v>
      </x:c>
      <x:c r="F47" s="19" t="n">
        <x:f>SUMIF('R.S'!$B$2:$B$947,B47,'R.S'!$F$2:$F$947)</x:f>
        <x:v>1</x:v>
      </x:c>
      <x:c r="G47" s="36" t="n">
        <x:f t="shared" si="4">E47-F47</x:f>
        <x:v>18</x:v>
      </x:c>
      <x:c r="H47" s="62" t="str">
        <x:f t="shared" si="5">IF(G47&lt;1,"D",IF(G47&lt;2,"F","C"))</x:f>
        <x:v>C</x:v>
      </x:c>
      <x:c r="I47" s="42">
        <x:v>14</x:v>
      </x:c>
      <x:c r="J47" s="83"/>
      <x:c r="K47" s="34" t="s">
        <x:v>100</x:v>
      </x:c>
      <x:c r="L47" t="str">
        <x:f>+VLOOKUP(Entradas3696[[#This Row],[Código]],Taller2585[],2,FALSE)</x:f>
        <x:v>DELANTAL PARA USO INDUSTRIAL LARGO C25</x:v>
      </x:c>
      <x:c r="M47" s="17">
        <x:v>46038</x:v>
      </x:c>
      <x:c r="N47" s="21" t="n">
        <x:f>SUMIFS('R.E'!$E$2:$E$894,'R.E'!$B$2:$B$894,K47)+IFERROR(I47,0)</x:f>
        <x:v>19</x:v>
      </x:c>
      <x:c r="P47" s="16" t="s">
        <x:v>100</x:v>
      </x:c>
      <x:c r="Q47" t="str">
        <x:f>+VLOOKUP(Salidas47107[[#This Row],[Código]],Taller2585[],2,FALSE)</x:f>
        <x:v>DELANTAL PARA USO INDUSTRIAL LARGO C25</x:v>
      </x:c>
      <x:c r="R47" s="21" t="n">
        <x:f>SUMIF('R.S'!$B$2:$B$947,P47,'R.S'!$F$2:$F$947)</x:f>
        <x:v>1</x:v>
      </x:c>
    </x:row>
    <x:row r="48" ht="25.5">
      <x:c r="B48" s="70" t="s">
        <x:v>102</x:v>
      </x:c>
      <x:c r="C48" s="61" t="s">
        <x:v>103</x:v>
      </x:c>
      <x:c r="D48" s="61" t="s">
        <x:v>20</x:v>
      </x:c>
      <x:c r="E48" s="36" t="n">
        <x:f t="shared" si="3">SUMIF($K$7:$K$64,B48,$N$7:$N$64)</x:f>
        <x:v>1</x:v>
      </x:c>
      <x:c r="F48" s="19" t="n">
        <x:f>SUMIF('R.S'!$B$2:$B$947,B48,'R.S'!$F$2:$F$947)</x:f>
        <x:v>1</x:v>
      </x:c>
      <x:c r="G48" s="36" t="n">
        <x:f t="shared" si="4">E48-F48</x:f>
        <x:v>0</x:v>
      </x:c>
      <x:c r="H48" s="62" t="str">
        <x:f t="shared" si="5">IF(G48&lt;1,"D",IF(G48&lt;2,"F","C"))</x:f>
        <x:v>D</x:v>
      </x:c>
      <x:c r="I48" s="42">
        <x:v>1</x:v>
      </x:c>
      <x:c r="J48" s="83"/>
      <x:c r="K48" s="35" t="s">
        <x:v>102</x:v>
      </x:c>
      <x:c r="L48" t="str">
        <x:f>+VLOOKUP(Entradas3696[[#This Row],[Código]],Taller2585[],2,FALSE)</x:f>
        <x:v>DELANTAL PARA USO INDUSTRIAL CORTO C16</x:v>
      </x:c>
      <x:c r="M48" s="17">
        <x:v>46038</x:v>
      </x:c>
      <x:c r="N48" s="21" t="n">
        <x:f>SUMIFS('R.E'!$E$2:$E$894,'R.E'!$B$2:$B$894,K48)+IFERROR(I48,0)</x:f>
        <x:v>1</x:v>
      </x:c>
      <x:c r="P48" s="16" t="s">
        <x:v>102</x:v>
      </x:c>
      <x:c r="Q48" t="str">
        <x:f>+VLOOKUP(Salidas47107[[#This Row],[Código]],Taller2585[],2,FALSE)</x:f>
        <x:v>DELANTAL PARA USO INDUSTRIAL CORTO C16</x:v>
      </x:c>
      <x:c r="R48" s="21" t="n">
        <x:f>SUMIF('R.S'!$B$2:$B$947,P48,'R.S'!$F$2:$F$947)</x:f>
        <x:v>1</x:v>
      </x:c>
    </x:row>
    <x:row r="49" ht="25.5">
      <x:c r="B49" s="68" t="s">
        <x:v>104</x:v>
      </x:c>
      <x:c r="C49" s="61" t="s">
        <x:v>105</x:v>
      </x:c>
      <x:c r="D49" s="61" t="s">
        <x:v>20</x:v>
      </x:c>
      <x:c r="E49" s="36" t="n">
        <x:f t="shared" si="3">SUMIF($K$7:$K$64,B49,$N$7:$N$64)</x:f>
        <x:v>8</x:v>
      </x:c>
      <x:c r="F49" s="19" t="n">
        <x:f>SUMIF('R.S'!$B$2:$B$947,B49,'R.S'!$F$2:$F$947)</x:f>
        <x:v>5</x:v>
      </x:c>
      <x:c r="G49" s="36" t="n">
        <x:f t="shared" si="4">E49-F49</x:f>
        <x:v>3</x:v>
      </x:c>
      <x:c r="H49" s="62" t="str">
        <x:f t="shared" si="5">IF(G49&lt;1,"D",IF(G49&lt;2,"F","C"))</x:f>
        <x:v>C</x:v>
      </x:c>
      <x:c r="I49" s="42">
        <x:v>4</x:v>
      </x:c>
      <x:c r="J49" s="83"/>
      <x:c r="K49" s="34" t="s">
        <x:v>104</x:v>
      </x:c>
      <x:c r="L49" t="str">
        <x:f>+VLOOKUP(Entradas3696[[#This Row],[Código]],Taller2585[],2,FALSE)</x:f>
        <x:v>DELANTAL GUADAÑADOR</x:v>
      </x:c>
      <x:c r="M49" s="17">
        <x:v>46038</x:v>
      </x:c>
      <x:c r="N49" s="21" t="n">
        <x:f>SUMIFS('R.E'!$E$2:$E$894,'R.E'!$B$2:$B$894,K49)+IFERROR(I49,0)</x:f>
        <x:v>8</x:v>
      </x:c>
      <x:c r="P49" s="16" t="s">
        <x:v>104</x:v>
      </x:c>
      <x:c r="Q49" t="str">
        <x:f>+VLOOKUP(Salidas47107[[#This Row],[Código]],Taller2585[],2,FALSE)</x:f>
        <x:v>DELANTAL GUADAÑADOR</x:v>
      </x:c>
      <x:c r="R49" s="21" t="n">
        <x:f>SUMIF('R.S'!$B$2:$B$947,P49,'R.S'!$F$2:$F$947)</x:f>
        <x:v>5</x:v>
      </x:c>
    </x:row>
    <x:row r="50" ht="25.5">
      <x:c r="B50" s="70" t="s">
        <x:v>106</x:v>
      </x:c>
      <x:c r="C50" s="61" t="s">
        <x:v>107</x:v>
      </x:c>
      <x:c r="D50" s="61" t="s">
        <x:v>20</x:v>
      </x:c>
      <x:c r="E50" s="36" t="n">
        <x:f t="shared" si="3">SUMIF($K$7:$K$64,B50,$N$7:$N$64)</x:f>
        <x:v>9</x:v>
      </x:c>
      <x:c r="F50" s="19" t="n">
        <x:f>SUMIF('R.S'!$B$2:$B$947,B50,'R.S'!$F$2:$F$947)</x:f>
        <x:v>1</x:v>
      </x:c>
      <x:c r="G50" s="36" t="n">
        <x:f t="shared" si="4">E50-F50</x:f>
        <x:v>8</x:v>
      </x:c>
      <x:c r="H50" s="62" t="str">
        <x:f t="shared" si="5">IF(G50&lt;1,"D",IF(G50&lt;2,"F","C"))</x:f>
        <x:v>C</x:v>
      </x:c>
      <x:c r="I50" s="42">
        <x:v>0</x:v>
      </x:c>
      <x:c r="J50" s="83"/>
      <x:c r="K50" s="35" t="s">
        <x:v>106</x:v>
      </x:c>
      <x:c r="L50" t="str">
        <x:f>+VLOOKUP(Entradas3696[[#This Row],[Código]],Taller2585[],2,FALSE)</x:f>
        <x:v>OVEROL ANTIFUIDO INDUSTRIAL TM</x:v>
      </x:c>
      <x:c r="M50" s="17">
        <x:v>46056</x:v>
      </x:c>
      <x:c r="N50" s="21" t="n">
        <x:f>SUMIFS('R.E'!$E$2:$E$894,'R.E'!$B$2:$B$894,K50)+IFERROR(I50,0)</x:f>
        <x:v>9</x:v>
      </x:c>
      <x:c r="P50" s="16" t="s">
        <x:v>106</x:v>
      </x:c>
      <x:c r="Q50" t="str">
        <x:f>+VLOOKUP(Salidas47107[[#This Row],[Código]],Taller2585[],2,FALSE)</x:f>
        <x:v>OVEROL ANTIFUIDO INDUSTRIAL TM</x:v>
      </x:c>
      <x:c r="R50" s="21" t="n">
        <x:f>SUMIF('R.S'!$B$2:$B$947,P50,'R.S'!$F$2:$F$947)</x:f>
        <x:v>1</x:v>
      </x:c>
    </x:row>
    <x:row r="51" ht="25.5">
      <x:c r="B51" s="68" t="s">
        <x:v>108</x:v>
      </x:c>
      <x:c r="C51" s="61" t="s">
        <x:v>109</x:v>
      </x:c>
      <x:c r="D51" s="61" t="s">
        <x:v>20</x:v>
      </x:c>
      <x:c r="E51" s="36" t="n">
        <x:f t="shared" si="3">SUMIF($K$7:$K$64,B51,$N$7:$N$64)</x:f>
        <x:v>7</x:v>
      </x:c>
      <x:c r="F51" s="19" t="n">
        <x:f>SUMIF('R.S'!$B$2:$B$947,B51,'R.S'!$F$2:$F$947)</x:f>
        <x:v>3</x:v>
      </x:c>
      <x:c r="G51" s="36" t="n">
        <x:f t="shared" si="4">E51-F51</x:f>
        <x:v>4</x:v>
      </x:c>
      <x:c r="H51" s="62" t="str">
        <x:f t="shared" si="5">IF(G51&lt;1,"D",IF(G51&lt;2,"F","C"))</x:f>
        <x:v>C</x:v>
      </x:c>
      <x:c r="I51" s="42">
        <x:v>2</x:v>
      </x:c>
      <x:c r="J51" s="83"/>
      <x:c r="K51" s="34" t="s">
        <x:v>108</x:v>
      </x:c>
      <x:c r="L51" t="str">
        <x:f>+VLOOKUP(Entradas3696[[#This Row],[Código]],Taller2585[],2,FALSE)</x:f>
        <x:v>OVEROL ANTIFUIDO INDUSTRIAL TL</x:v>
      </x:c>
      <x:c r="M51" s="17">
        <x:v>46038</x:v>
      </x:c>
      <x:c r="N51" s="21" t="n">
        <x:f>SUMIFS('R.E'!$E$2:$E$894,'R.E'!$B$2:$B$894,K51)+IFERROR(I51,0)</x:f>
        <x:v>7</x:v>
      </x:c>
      <x:c r="P51" s="16" t="s">
        <x:v>108</x:v>
      </x:c>
      <x:c r="Q51" t="str">
        <x:f>+VLOOKUP(Salidas47107[[#This Row],[Código]],Taller2585[],2,FALSE)</x:f>
        <x:v>OVEROL ANTIFUIDO INDUSTRIAL TL</x:v>
      </x:c>
      <x:c r="R51" s="21" t="n">
        <x:f>SUMIF('R.S'!$B$2:$B$947,P51,'R.S'!$F$2:$F$947)</x:f>
        <x:v>3</x:v>
      </x:c>
    </x:row>
    <x:row r="52" ht="25.5">
      <x:c r="B52" s="68" t="s">
        <x:v>110</x:v>
      </x:c>
      <x:c r="C52" s="61" t="s">
        <x:v>111</x:v>
      </x:c>
      <x:c r="D52" s="61" t="s">
        <x:v>20</x:v>
      </x:c>
      <x:c r="E52" s="36" t="n">
        <x:f t="shared" si="3">SUMIF($K$7:$K$64,B52,$N$7:$N$64)</x:f>
        <x:v>8</x:v>
      </x:c>
      <x:c r="F52" s="19" t="n">
        <x:f>SUMIF('R.S'!$B$2:$B$947,B52,'R.S'!$F$2:$F$947)</x:f>
        <x:v>3</x:v>
      </x:c>
      <x:c r="G52" s="36" t="n">
        <x:f t="shared" si="4">E52-F52</x:f>
        <x:v>5</x:v>
      </x:c>
      <x:c r="H52" s="62" t="str">
        <x:f t="shared" si="5">IF(G52&lt;1,"D",IF(G52&lt;2,"F","C"))</x:f>
        <x:v>C</x:v>
      </x:c>
      <x:c r="I52" s="42">
        <x:v>3</x:v>
      </x:c>
      <x:c r="J52" s="83"/>
      <x:c r="K52" s="34" t="s">
        <x:v>110</x:v>
      </x:c>
      <x:c r="L52" t="str">
        <x:f>+VLOOKUP(Entradas3696[[#This Row],[Código]],Taller2585[],2,FALSE)</x:f>
        <x:v>OVEROL ANTIFUIDO INDUSTRIAL TXL</x:v>
      </x:c>
      <x:c r="M52" s="17">
        <x:v>46038</x:v>
      </x:c>
      <x:c r="N52" s="21" t="n">
        <x:f>SUMIFS('R.E'!$E$2:$E$894,'R.E'!$B$2:$B$894,K52)+IFERROR(I52,0)</x:f>
        <x:v>8</x:v>
      </x:c>
      <x:c r="P52" s="16" t="s">
        <x:v>110</x:v>
      </x:c>
      <x:c r="Q52" t="str">
        <x:f>+VLOOKUP(Salidas47107[[#This Row],[Código]],Taller2585[],2,FALSE)</x:f>
        <x:v>OVEROL ANTIFUIDO INDUSTRIAL TXL</x:v>
      </x:c>
      <x:c r="R52" s="21" t="n">
        <x:f>SUMIF('R.S'!$B$2:$B$947,P52,'R.S'!$F$2:$F$947)</x:f>
        <x:v>3</x:v>
      </x:c>
    </x:row>
    <x:row r="53" ht="25.5">
      <x:c r="B53" s="68" t="s">
        <x:v>112</x:v>
      </x:c>
      <x:c r="C53" s="61" t="s">
        <x:v>113</x:v>
      </x:c>
      <x:c r="D53" s="61" t="s">
        <x:v>20</x:v>
      </x:c>
      <x:c r="E53" s="36" t="n">
        <x:f t="shared" si="3">SUMIF($K$7:$K$64,B53,$N$7:$N$64)</x:f>
        <x:v>2</x:v>
      </x:c>
      <x:c r="F53" s="19" t="n">
        <x:f>SUMIF('R.S'!$B$2:$B$947,B53,'R.S'!$F$2:$F$947)</x:f>
        <x:v>2</x:v>
      </x:c>
      <x:c r="G53" s="36" t="n">
        <x:f t="shared" si="4">E53-F53</x:f>
        <x:v>0</x:v>
      </x:c>
      <x:c r="H53" s="62" t="str">
        <x:f t="shared" si="5">IF(G53&lt;1,"D",IF(G53&lt;2,"F","C"))</x:f>
        <x:v>D</x:v>
      </x:c>
      <x:c r="I53" s="42">
        <x:v>2</x:v>
      </x:c>
      <x:c r="J53" s="83"/>
      <x:c r="K53" s="34" t="s">
        <x:v>112</x:v>
      </x:c>
      <x:c r="L53" t="str">
        <x:f>+VLOOKUP(Entradas3696[[#This Row],[Código]],Taller2585[],2,FALSE)</x:f>
        <x:v>OVEROL ANTIFUIDO INDUSTRIAL TXXL</x:v>
      </x:c>
      <x:c r="M53" s="17">
        <x:v>46038</x:v>
      </x:c>
      <x:c r="N53" s="21" t="n">
        <x:f>SUMIFS('R.E'!$E$2:$E$894,'R.E'!$B$2:$B$894,K53)+IFERROR(I53,0)</x:f>
        <x:v>2</x:v>
      </x:c>
      <x:c r="P53" s="16" t="s">
        <x:v>112</x:v>
      </x:c>
      <x:c r="Q53" t="str">
        <x:f>+VLOOKUP(Salidas47107[[#This Row],[Código]],Taller2585[],2,FALSE)</x:f>
        <x:v>OVEROL ANTIFUIDO INDUSTRIAL TXXL</x:v>
      </x:c>
      <x:c r="R53" s="21" t="n">
        <x:f>SUMIF('R.S'!$B$2:$B$947,P53,'R.S'!$F$2:$F$947)</x:f>
        <x:v>2</x:v>
      </x:c>
    </x:row>
    <x:row r="54" ht="25.5">
      <x:c r="B54" s="70" t="s">
        <x:v>114</x:v>
      </x:c>
      <x:c r="C54" s="61" t="s">
        <x:v>115</x:v>
      </x:c>
      <x:c r="D54" s="61" t="s">
        <x:v>20</x:v>
      </x:c>
      <x:c r="E54" s="36" t="n">
        <x:f t="shared" si="3">SUMIF($K$7:$K$64,B54,$N$7:$N$64)</x:f>
        <x:v>11</x:v>
      </x:c>
      <x:c r="F54" s="19" t="n">
        <x:f>SUMIF('R.S'!$B$2:$B$947,B54,'R.S'!$F$2:$F$947)</x:f>
        <x:v>4</x:v>
      </x:c>
      <x:c r="G54" s="36" t="n">
        <x:f t="shared" si="4">E54-F54</x:f>
        <x:v>7</x:v>
      </x:c>
      <x:c r="H54" s="62" t="str">
        <x:f t="shared" si="5">IF(G54&lt;1,"D",IF(G54&lt;2,"F","C"))</x:f>
        <x:v>C</x:v>
      </x:c>
      <x:c r="I54" s="42">
        <x:v>0</x:v>
      </x:c>
      <x:c r="J54" s="83"/>
      <x:c r="K54" s="35" t="s">
        <x:v>114</x:v>
      </x:c>
      <x:c r="L54" t="str">
        <x:f>+VLOOKUP(Entradas3696[[#This Row],[Código]],Taller2585[],2,FALSE)</x:f>
        <x:v>OVEROL DESCARTABLE TM</x:v>
      </x:c>
      <x:c r="M54" s="17">
        <x:v>46056</x:v>
      </x:c>
      <x:c r="N54" s="21" t="n">
        <x:f>SUMIFS('R.E'!$E$2:$E$894,'R.E'!$B$2:$B$894,K54)+IFERROR(I54,0)</x:f>
        <x:v>11</x:v>
      </x:c>
      <x:c r="P54" s="16" t="s">
        <x:v>114</x:v>
      </x:c>
      <x:c r="Q54" t="str">
        <x:f>+VLOOKUP(Salidas47107[[#This Row],[Código]],Taller2585[],2,FALSE)</x:f>
        <x:v>OVEROL DESCARTABLE TM</x:v>
      </x:c>
      <x:c r="R54" s="21" t="n">
        <x:f>SUMIF('R.S'!$B$2:$B$947,P54,'R.S'!$F$2:$F$947)</x:f>
        <x:v>4</x:v>
      </x:c>
    </x:row>
    <x:row r="55" ht="25.5">
      <x:c r="B55" s="68" t="s">
        <x:v>116</x:v>
      </x:c>
      <x:c r="C55" s="61" t="s">
        <x:v>117</x:v>
      </x:c>
      <x:c r="D55" s="61" t="s">
        <x:v>20</x:v>
      </x:c>
      <x:c r="E55" s="36" t="n">
        <x:f t="shared" si="3">SUMIF($K$7:$K$64,B55,$N$7:$N$64)</x:f>
        <x:v>22</x:v>
      </x:c>
      <x:c r="F55" s="19" t="n">
        <x:f>SUMIF('R.S'!$B$2:$B$947,B55,'R.S'!$F$2:$F$947)</x:f>
        <x:v>15</x:v>
      </x:c>
      <x:c r="G55" s="36" t="n">
        <x:f t="shared" si="4">E55-F55</x:f>
        <x:v>7</x:v>
      </x:c>
      <x:c r="H55" s="62" t="str">
        <x:f t="shared" si="5">IF(G55&lt;1,"D",IF(G55&lt;2,"F","C"))</x:f>
        <x:v>C</x:v>
      </x:c>
      <x:c r="I55" s="42">
        <x:v>12</x:v>
      </x:c>
      <x:c r="J55" s="83"/>
      <x:c r="K55" s="34" t="s">
        <x:v>116</x:v>
      </x:c>
      <x:c r="L55" t="str">
        <x:f>+VLOOKUP(Entradas3696[[#This Row],[Código]],Taller2585[],2,FALSE)</x:f>
        <x:v>OVEROL DESCARTABLE TL</x:v>
      </x:c>
      <x:c r="M55" s="17">
        <x:v>46038</x:v>
      </x:c>
      <x:c r="N55" s="21" t="n">
        <x:f>SUMIFS('R.E'!$E$2:$E$894,'R.E'!$B$2:$B$894,K55)+IFERROR(I55,0)</x:f>
        <x:v>22</x:v>
      </x:c>
      <x:c r="P55" s="16" t="s">
        <x:v>116</x:v>
      </x:c>
      <x:c r="Q55" t="str">
        <x:f>+VLOOKUP(Salidas47107[[#This Row],[Código]],Taller2585[],2,FALSE)</x:f>
        <x:v>OVEROL DESCARTABLE TL</x:v>
      </x:c>
      <x:c r="R55" s="21" t="n">
        <x:f>SUMIF('R.S'!$B$2:$B$947,P55,'R.S'!$F$2:$F$947)</x:f>
        <x:v>15</x:v>
      </x:c>
    </x:row>
    <x:row r="56" ht="25.5">
      <x:c r="B56" s="70" t="s">
        <x:v>118</x:v>
      </x:c>
      <x:c r="C56" s="61" t="s">
        <x:v>119</x:v>
      </x:c>
      <x:c r="D56" s="61" t="s">
        <x:v>20</x:v>
      </x:c>
      <x:c r="E56" s="36" t="n">
        <x:f t="shared" si="3">SUMIF($K$7:$K$64,B56,$N$7:$N$64)</x:f>
        <x:v>0</x:v>
      </x:c>
      <x:c r="F56" s="19" t="n">
        <x:f>SUMIF('R.S'!$B$2:$B$947,B56,'R.S'!$F$2:$F$947)</x:f>
        <x:v>0</x:v>
      </x:c>
      <x:c r="G56" s="36" t="n">
        <x:f t="shared" si="4">E56-F56</x:f>
        <x:v>0</x:v>
      </x:c>
      <x:c r="H56" s="62" t="str">
        <x:f t="shared" si="5">IF(G56&lt;1,"D",IF(G56&lt;2,"F","C"))</x:f>
        <x:v>D</x:v>
      </x:c>
      <x:c r="I56" s="42">
        <x:v>0</x:v>
      </x:c>
      <x:c r="J56" s="83"/>
      <x:c r="K56" s="35" t="s">
        <x:v>118</x:v>
      </x:c>
      <x:c r="L56" t="str">
        <x:f>+VLOOKUP(Entradas3696[[#This Row],[Código]],Taller2585[],2,FALSE)</x:f>
        <x:v>OVEROL DRIL PARA APICULTURA T40</x:v>
      </x:c>
      <x:c r="M56" s="17">
        <x:v>46038</x:v>
      </x:c>
      <x:c r="N56" s="21" t="n">
        <x:f>SUMIFS('R.E'!$E$2:$E$894,'R.E'!$B$2:$B$894,K56)+IFERROR(I56,0)</x:f>
        <x:v>0</x:v>
      </x:c>
      <x:c r="P56" s="16" t="s">
        <x:v>118</x:v>
      </x:c>
      <x:c r="Q56" t="str">
        <x:f>+VLOOKUP(Salidas47107[[#This Row],[Código]],Taller2585[],2,FALSE)</x:f>
        <x:v>OVEROL DRIL PARA APICULTURA T40</x:v>
      </x:c>
      <x:c r="R56" s="21" t="n">
        <x:f>SUMIF('R.S'!$B$2:$B$947,P56,'R.S'!$F$2:$F$947)</x:f>
        <x:v>0</x:v>
      </x:c>
    </x:row>
    <x:row r="57" ht="25.5">
      <x:c r="B57" s="59" t="s">
        <x:v>120</x:v>
      </x:c>
      <x:c r="C57" s="61" t="s">
        <x:v>121</x:v>
      </x:c>
      <x:c r="D57" s="61" t="s">
        <x:v>20</x:v>
      </x:c>
      <x:c r="E57" s="36" t="n">
        <x:f t="shared" si="3">SUMIF($K$7:$K$64,B57,$N$7:$N$64)</x:f>
        <x:v>0</x:v>
      </x:c>
      <x:c r="F57" s="19" t="n">
        <x:f>SUMIF('R.S'!$B$2:$B$947,B57,'R.S'!$F$2:$F$947)</x:f>
        <x:v>0</x:v>
      </x:c>
      <x:c r="G57" s="36" t="n">
        <x:f t="shared" si="4">E57-F57</x:f>
        <x:v>0</x:v>
      </x:c>
      <x:c r="H57" s="62" t="str">
        <x:f t="shared" si="5">IF(G57&lt;1,"D",IF(G57&lt;2,"F","C"))</x:f>
        <x:v>D</x:v>
      </x:c>
      <x:c r="I57" s="42">
        <x:v>0</x:v>
      </x:c>
      <x:c r="J57" s="83"/>
      <x:c r="K57" s="30" t="s">
        <x:v>120</x:v>
      </x:c>
      <x:c r="L57" t="str">
        <x:f>+VLOOKUP(Entradas3696[[#This Row],[Código]],Taller2585[],2,FALSE)</x:f>
        <x:v>OVEROL DRIL PARA APICULTURA T44</x:v>
      </x:c>
      <x:c r="M57" s="17">
        <x:v>46038</x:v>
      </x:c>
      <x:c r="N57" s="21" t="n">
        <x:f>SUMIFS('R.E'!$E$2:$E$894,'R.E'!$B$2:$B$894,K57)+IFERROR(I57,0)</x:f>
        <x:v>0</x:v>
      </x:c>
      <x:c r="P57" s="16" t="s">
        <x:v>120</x:v>
      </x:c>
      <x:c r="Q57" t="str">
        <x:f>+VLOOKUP(Salidas47107[[#This Row],[Código]],Taller2585[],2,FALSE)</x:f>
        <x:v>OVEROL DRIL PARA APICULTURA T44</x:v>
      </x:c>
      <x:c r="R57" s="21" t="n">
        <x:f>SUMIF('R.S'!$B$2:$B$947,P57,'R.S'!$F$2:$F$947)</x:f>
        <x:v>0</x:v>
      </x:c>
    </x:row>
    <x:row r="58" ht="25.5">
      <x:c r="B58" s="70" t="s">
        <x:v>122</x:v>
      </x:c>
      <x:c r="C58" s="13" t="s">
        <x:v>123</x:v>
      </x:c>
      <x:c r="D58" s="61" t="s">
        <x:v>20</x:v>
      </x:c>
      <x:c r="E58" s="36" t="n">
        <x:f t="shared" si="3">SUMIF($K$7:$K$64,B58,$N$7:$N$64)</x:f>
        <x:v>1</x:v>
      </x:c>
      <x:c r="F58" s="19" t="n">
        <x:f>SUMIF('R.S'!$B$2:$B$947,B58,'R.S'!$F$2:$F$947)</x:f>
        <x:v>0</x:v>
      </x:c>
      <x:c r="G58" s="36" t="n">
        <x:f t="shared" si="4">E58-F58</x:f>
        <x:v>1</x:v>
      </x:c>
      <x:c r="H58" s="62" t="str">
        <x:f t="shared" si="5">IF(G58&lt;1,"D",IF(G58&lt;2,"F","C"))</x:f>
        <x:v>F</x:v>
      </x:c>
      <x:c r="I58" s="42">
        <x:v>0</x:v>
      </x:c>
      <x:c r="J58" s="83"/>
      <x:c r="K58" s="35" t="s">
        <x:v>122</x:v>
      </x:c>
      <x:c r="L58" t="str">
        <x:f>+VLOOKUP(Entradas3696[[#This Row],[Código]],Taller2585[],2,FALSE)</x:f>
        <x:v>OVEROL DRIL TALLER T38</x:v>
      </x:c>
      <x:c r="M58" s="17">
        <x:v>46038</x:v>
      </x:c>
      <x:c r="N58" s="21" t="n">
        <x:f>SUMIFS('R.E'!$E$2:$E$894,'R.E'!$B$2:$B$894,K58)+IFERROR(I58,0)</x:f>
        <x:v>1</x:v>
      </x:c>
      <x:c r="P58" s="16" t="s">
        <x:v>122</x:v>
      </x:c>
      <x:c r="Q58" t="str">
        <x:f>+VLOOKUP(Salidas47107[[#This Row],[Código]],Taller2585[],2,FALSE)</x:f>
        <x:v>OVEROL DRIL TALLER T38</x:v>
      </x:c>
      <x:c r="R58" s="21" t="n">
        <x:f>SUMIF('R.S'!$B$2:$B$947,P58,'R.S'!$F$2:$F$947)</x:f>
        <x:v>0</x:v>
      </x:c>
    </x:row>
    <x:row r="59" ht="25.5">
      <x:c r="B59" s="59" t="s">
        <x:v>124</x:v>
      </x:c>
      <x:c r="C59" s="61" t="s">
        <x:v>125</x:v>
      </x:c>
      <x:c r="D59" s="61" t="s">
        <x:v>20</x:v>
      </x:c>
      <x:c r="E59" s="36" t="n">
        <x:f t="shared" si="3">SUMIF($K$7:$K$64,B59,$N$7:$N$64)</x:f>
        <x:v>3</x:v>
      </x:c>
      <x:c r="F59" s="19" t="n">
        <x:f>SUMIF('R.S'!$B$2:$B$947,B59,'R.S'!$F$2:$F$947)</x:f>
        <x:v>2</x:v>
      </x:c>
      <x:c r="G59" s="36" t="n">
        <x:f t="shared" si="4">E59-F59</x:f>
        <x:v>1</x:v>
      </x:c>
      <x:c r="H59" s="62" t="str">
        <x:f t="shared" si="5">IF(G59&lt;1,"D",IF(G59&lt;2,"F","C"))</x:f>
        <x:v>F</x:v>
      </x:c>
      <x:c r="I59" s="42">
        <x:v>3</x:v>
      </x:c>
      <x:c r="J59" s="83"/>
      <x:c r="K59" s="30" t="s">
        <x:v>124</x:v>
      </x:c>
      <x:c r="L59" t="str">
        <x:f>+VLOOKUP(Entradas3696[[#This Row],[Código]],Taller2585[],2,FALSE)</x:f>
        <x:v>ARNES DE GUADAÑA </x:v>
      </x:c>
      <x:c r="M59" s="17">
        <x:v>46038</x:v>
      </x:c>
      <x:c r="N59" s="21" t="n">
        <x:f>SUMIFS('R.E'!$E$2:$E$894,'R.E'!$B$2:$B$894,K59)+IFERROR(I59,0)</x:f>
        <x:v>3</x:v>
      </x:c>
      <x:c r="P59" s="16" t="s">
        <x:v>124</x:v>
      </x:c>
      <x:c r="Q59" t="str">
        <x:f>+VLOOKUP(Salidas47107[[#This Row],[Código]],Taller2585[],2,FALSE)</x:f>
        <x:v>ARNES DE GUADAÑA </x:v>
      </x:c>
      <x:c r="R59" s="21" t="n">
        <x:f>SUMIF('R.S'!$B$2:$B$947,P59,'R.S'!$F$2:$F$947)</x:f>
        <x:v>2</x:v>
      </x:c>
    </x:row>
    <x:row r="60" ht="25.5">
      <x:c r="B60" s="70" t="s">
        <x:v>126</x:v>
      </x:c>
      <x:c r="C60" s="61" t="s">
        <x:v>127</x:v>
      </x:c>
      <x:c r="D60" s="61" t="s">
        <x:v>20</x:v>
      </x:c>
      <x:c r="E60" s="36" t="n">
        <x:f t="shared" si="3">SUMIF($K$7:$K$64,B60,$N$7:$N$64)</x:f>
        <x:v>8</x:v>
      </x:c>
      <x:c r="F60" s="19" t="n">
        <x:f>SUMIF('R.S'!$B$2:$B$947,B60,'R.S'!$F$2:$F$947)</x:f>
        <x:v>8</x:v>
      </x:c>
      <x:c r="G60" s="36" t="n">
        <x:f t="shared" si="4">E60-F60</x:f>
        <x:v>0</x:v>
      </x:c>
      <x:c r="H60" s="62" t="str">
        <x:f t="shared" si="5">IF(G60&lt;1,"D",IF(G60&lt;2,"F","C"))</x:f>
        <x:v>D</x:v>
      </x:c>
      <x:c r="I60" s="42">
        <x:v>3</x:v>
      </x:c>
      <x:c r="J60" s="83"/>
      <x:c r="K60" s="35" t="s">
        <x:v>126</x:v>
      </x:c>
      <x:c r="L60" t="str">
        <x:f>+VLOOKUP(Entradas3696[[#This Row],[Código]],Taller2585[],2,FALSE)</x:f>
        <x:v>IMPERMEABLE XL</x:v>
      </x:c>
      <x:c r="M60" s="17">
        <x:v>46038</x:v>
      </x:c>
      <x:c r="N60" s="21" t="n">
        <x:f>SUMIFS('R.E'!$E$2:$E$894,'R.E'!$B$2:$B$894,K60)+IFERROR(I60,0)</x:f>
        <x:v>8</x:v>
      </x:c>
      <x:c r="P60" s="16" t="s">
        <x:v>126</x:v>
      </x:c>
      <x:c r="Q60" t="str">
        <x:f>+VLOOKUP(Salidas47107[[#This Row],[Código]],Taller2585[],2,FALSE)</x:f>
        <x:v>IMPERMEABLE XL</x:v>
      </x:c>
      <x:c r="R60" s="21" t="n">
        <x:f>SUMIF('R.S'!$B$2:$B$947,P60,'R.S'!$F$2:$F$947)</x:f>
        <x:v>8</x:v>
      </x:c>
    </x:row>
    <x:row r="61" ht="25.5">
      <x:c r="B61" s="69" t="s">
        <x:v>128</x:v>
      </x:c>
      <x:c r="C61" s="61" t="s">
        <x:v>129</x:v>
      </x:c>
      <x:c r="D61" s="61" t="s">
        <x:v>20</x:v>
      </x:c>
      <x:c r="E61" s="36" t="n">
        <x:f t="shared" si="3">SUMIF($K$7:$K$64,B61,$N$7:$N$64)</x:f>
        <x:v>6</x:v>
      </x:c>
      <x:c r="F61" s="19" t="n">
        <x:f>SUMIF('R.S'!$B$2:$B$947,B61,'R.S'!$F$2:$F$947)</x:f>
        <x:v>6</x:v>
      </x:c>
      <x:c r="G61" s="36" t="n">
        <x:f t="shared" si="4">E61-F61</x:f>
        <x:v>0</x:v>
      </x:c>
      <x:c r="H61" s="62" t="str">
        <x:f t="shared" si="5">IF(G61&lt;1,"D",IF(G61&lt;2,"F","C"))</x:f>
        <x:v>D</x:v>
      </x:c>
      <x:c r="I61" s="42">
        <x:v>0</x:v>
      </x:c>
      <x:c r="J61" s="83"/>
      <x:c r="K61" s="35" t="s">
        <x:v>128</x:v>
      </x:c>
      <x:c r="L61" t="str">
        <x:f>+VLOOKUP(Entradas3696[[#This Row],[Código]],Taller2585[],2,FALSE)</x:f>
        <x:v>IMPERMEABLE L</x:v>
      </x:c>
      <x:c r="M61" s="17">
        <x:v>46056</x:v>
      </x:c>
      <x:c r="N61" s="21" t="n">
        <x:f>SUMIFS('R.E'!$E$2:$E$894,'R.E'!$B$2:$B$894,K61)+IFERROR(I61,0)</x:f>
        <x:v>6</x:v>
      </x:c>
      <x:c r="P61" s="16" t="s">
        <x:v>128</x:v>
      </x:c>
      <x:c r="Q61" t="str">
        <x:f>+VLOOKUP(Salidas47107[[#This Row],[Código]],Taller2585[],2,FALSE)</x:f>
        <x:v>IMPERMEABLE L</x:v>
      </x:c>
      <x:c r="R61" s="21" t="n">
        <x:f>SUMIF('R.S'!$B$2:$B$947,P61,'R.S'!$F$2:$F$947)</x:f>
        <x:v>6</x:v>
      </x:c>
    </x:row>
    <x:row r="62" ht="25.5">
      <x:c r="B62" s="69" t="s">
        <x:v>130</x:v>
      </x:c>
      <x:c r="C62" s="61" t="s">
        <x:v>131</x:v>
      </x:c>
      <x:c r="D62" s="61" t="s">
        <x:v>20</x:v>
      </x:c>
      <x:c r="E62" s="36" t="n">
        <x:f t="shared" si="3">SUMIF($K$7:$K$64,B62,$N$7:$N$64)</x:f>
        <x:v>8</x:v>
      </x:c>
      <x:c r="F62" s="19" t="n">
        <x:f>SUMIF('R.S'!$B$2:$B$947,B62,'R.S'!$F$2:$F$947)</x:f>
        <x:v>6</x:v>
      </x:c>
      <x:c r="G62" s="36" t="n">
        <x:f t="shared" si="4">E62-F62</x:f>
        <x:v>2</x:v>
      </x:c>
      <x:c r="H62" s="62" t="str">
        <x:f t="shared" si="5">IF(G62&lt;1,"D",IF(G62&lt;2,"F","C"))</x:f>
        <x:v>C</x:v>
      </x:c>
      <x:c r="I62" s="42">
        <x:v>0</x:v>
      </x:c>
      <x:c r="J62" s="83"/>
      <x:c r="K62" s="35" t="s">
        <x:v>130</x:v>
      </x:c>
      <x:c r="L62" t="str">
        <x:f>+VLOOKUP(Entradas3696[[#This Row],[Código]],Taller2585[],2,FALSE)</x:f>
        <x:v>IMPERMEABLE M</x:v>
      </x:c>
      <x:c r="M62" s="17">
        <x:v>46056</x:v>
      </x:c>
      <x:c r="N62" s="21" t="n">
        <x:f>SUMIFS('R.E'!$E$2:$E$894,'R.E'!$B$2:$B$894,K62)+IFERROR(I62,0)</x:f>
        <x:v>8</x:v>
      </x:c>
      <x:c r="P62" s="16" t="s">
        <x:v>130</x:v>
      </x:c>
      <x:c r="Q62" t="str">
        <x:f>+VLOOKUP(Salidas47107[[#This Row],[Código]],Taller2585[],2,FALSE)</x:f>
        <x:v>IMPERMEABLE M</x:v>
      </x:c>
      <x:c r="R62" s="21" t="n">
        <x:f>SUMIF('R.S'!$B$2:$B$947,P62,'R.S'!$F$2:$F$947)</x:f>
        <x:v>6</x:v>
      </x:c>
    </x:row>
    <x:row r="63" ht="25.5">
      <x:c r="B63" s="35" t="s">
        <x:v>132</x:v>
      </x:c>
      <x:c r="C63" s="13" t="s">
        <x:v>133</x:v>
      </x:c>
      <x:c r="D63" s="31" t="s">
        <x:v>20</x:v>
      </x:c>
      <x:c r="E63" s="48" t="n">
        <x:f t="shared" si="3">SUMIF($K$7:$K$64,B63,$N$7:$N$64)</x:f>
        <x:v>13</x:v>
      </x:c>
      <x:c r="F63" s="20" t="n">
        <x:f>SUMIF('R.S'!$B$2:$B$947,B63,'R.S'!$F$2:$F$947)</x:f>
        <x:v>4</x:v>
      </x:c>
      <x:c r="G63" s="48" t="n">
        <x:f t="shared" si="4">E63-F63</x:f>
        <x:v>9</x:v>
      </x:c>
      <x:c r="H63" s="32" t="str">
        <x:f t="shared" si="5">IF(G63&lt;1,"D",IF(G63&lt;2,"F","C"))</x:f>
        <x:v>C</x:v>
      </x:c>
      <x:c r="I63" s="42">
        <x:v>13</x:v>
      </x:c>
      <x:c r="J63" s="83"/>
      <x:c r="K63" s="44" t="s">
        <x:v>132</x:v>
      </x:c>
      <x:c r="L63" t="str">
        <x:f>+VLOOKUP(Entradas3696[[#This Row],[Código]],Taller2585[],2,FALSE)</x:f>
        <x:v>CASQUETE PORTAVISOR AMARILLO</x:v>
      </x:c>
      <x:c r="M63" s="17">
        <x:v>46038</x:v>
      </x:c>
      <x:c r="N63" s="21" t="n">
        <x:f>SUMIFS('R.E'!$E$2:$E$894,'R.E'!$B$2:$B$894,K63)+IFERROR(I63,0)</x:f>
        <x:v>13</x:v>
      </x:c>
      <x:c r="P63" s="16" t="s">
        <x:v>132</x:v>
      </x:c>
      <x:c r="Q63" t="str">
        <x:f>+VLOOKUP(Salidas47107[[#This Row],[Código]],Taller2585[],2,FALSE)</x:f>
        <x:v>CASQUETE PORTAVISOR AMARILLO</x:v>
      </x:c>
      <x:c r="R63" s="52" t="n">
        <x:f>SUMIF('R.S'!$B$2:$B$947,P63,'R.S'!$F$2:$F$947)</x:f>
        <x:v>4</x:v>
      </x:c>
    </x:row>
    <x:row r="64" ht="25.5" hidden="1">
      <x:c r="B64" s="59"/>
      <x:c r="C64" s="63"/>
      <x:c r="D64" s="63"/>
      <x:c r="E64" s="64">
        <x:f t="shared" si="3"/>
        <x:v>0</x:v>
      </x:c>
      <x:c r="F64" s="65" t="n">
        <x:f>SUMIF('R.S'!$B:$B,B64,'R.S'!$F:$F)</x:f>
        <x:v>0</x:v>
      </x:c>
      <x:c r="G64" s="64">
        <x:f t="shared" si="4"/>
        <x:v>0</x:v>
      </x:c>
      <x:c r="H64" s="66" t="str">
        <x:f t="shared" si="5"/>
        <x:v>D</x:v>
      </x:c>
      <x:c r="I64" s="42"/>
      <x:c r="J64" s="83"/>
      <x:c r="K64" s="53"/>
      <x:c r="L64" t="n">
        <x:f>+VLOOKUP(Entradas3696[[#This Row],[Código]],Taller2585[],2,FALSE)</x:f>
        <x:v>0</x:v>
      </x:c>
      <x:c r="M64" s="17"/>
      <x:c r="N64" s="16" t="n">
        <x:f>SUMIFS('R.E'!$E:$E,'R.E'!$B:$B,K64)+IFERROR(I64,0)</x:f>
        <x:v>0</x:v>
      </x:c>
      <x:c r="P64" s="53"/>
      <x:c r="Q64" t="n">
        <x:f>+VLOOKUP(Salidas47107[[#This Row],[Código]],Taller2585[],2,FALSE)</x:f>
        <x:v>0</x:v>
      </x:c>
      <x:c r="R64" s="51" t="n">
        <x:f>SUMIF('R.S'!$B:$B,P64,'R.S'!$F:$F)</x:f>
        <x:v>0</x:v>
      </x:c>
    </x:row>
    <x:row r="65" ht="15.75">
      <x:c r="I65" s="42"/>
      <x:c r="J65" s="83"/>
      <x:c r="K65" s="53"/>
      <x:c r="M65" s="17"/>
      <x:c r="N65" s="16"/>
      <x:c r="P65" s="53"/>
      <x:c r="R65" s="51"/>
    </x:row>
    <x:row r="66">
      <x:c r="J66" s="83"/>
      <x:c r="R66" s="23"/>
    </x:row>
    <x:row r="67">
      <x:c r="J67" s="83"/>
      <x:c r="R67" s="23"/>
    </x:row>
    <x:row r="68">
      <x:c r="J68" s="83"/>
      <x:c r="R68" s="23"/>
    </x:row>
    <x:row r="69">
      <x:c r="J69" s="83"/>
      <x:c r="R69" s="23"/>
    </x:row>
    <x:row r="70">
      <x:c r="R70" s="23"/>
    </x:row>
    <x:row r="71">
      <x:c r="R71" s="23"/>
    </x:row>
    <x:row r="72">
      <x:c r="R72" s="23"/>
    </x:row>
    <x:row r="73">
      <x:c r="R73" s="23"/>
    </x:row>
    <x:row r="74">
      <x:c r="R74" s="23"/>
    </x:row>
    <x:row r="75">
      <x:c r="R75" s="23"/>
    </x:row>
    <x:row r="76">
      <x:c r="R76" s="23"/>
    </x:row>
    <x:row r="77">
      <x:c r="R77" s="23"/>
    </x:row>
    <x:row r="78">
      <x:c r="R78" s="23"/>
    </x:row>
    <x:row r="79">
      <x:c r="R79" s="23"/>
    </x:row>
    <x:row r="80">
      <x:c r="R80" s="23"/>
    </x:row>
    <x:row r="81">
      <x:c r="R81" s="23"/>
    </x:row>
    <x:row r="82">
      <x:c r="R82" s="23"/>
    </x:row>
    <x:row r="83">
      <x:c r="R83" s="23"/>
    </x:row>
    <x:row r="84">
      <x:c r="R84" s="23"/>
    </x:row>
    <x:row r="85">
      <x:c r="R85" s="23"/>
    </x:row>
    <x:row r="86">
      <x:c r="R86" s="23"/>
    </x:row>
    <x:row r="87">
      <x:c r="R87" s="23"/>
    </x:row>
    <x:row r="88">
      <x:c r="R88" s="23"/>
    </x:row>
    <x:row r="89">
      <x:c r="R89" s="23"/>
    </x:row>
    <x:row r="90">
      <x:c r="R90" s="23"/>
    </x:row>
    <x:row r="91">
      <x:c r="R91" s="23"/>
    </x:row>
    <x:row r="92">
      <x:c r="R92" s="23"/>
    </x:row>
    <x:row r="93">
      <x:c r="R93" s="23"/>
    </x:row>
    <x:row r="94">
      <x:c r="R94" s="23"/>
    </x:row>
    <x:row r="95">
      <x:c r="R95" s="23"/>
    </x:row>
    <x:row r="96">
      <x:c r="R96" s="23"/>
    </x:row>
  </x:sheetData>
  <x:conditionalFormatting sqref="I6:I9 H7:H9 H10:I10 I11:I22 H11:H63">
    <x:cfRule type="cellIs" dxfId="2" priority="1" operator="equal">
      <x:formula>"C"</x:formula>
    </x:cfRule>
    <x:cfRule type="cellIs" dxfId="1" priority="2" operator="equal">
      <x:formula>"F"</x:formula>
    </x:cfRule>
    <x:cfRule type="cellIs" dxfId="0" priority="3" operator="equal">
      <x:formula>"D"</x:formula>
    </x:cfRule>
  </x:conditionalFormatting>
  <x:dataValidations count="1">
    <x:dataValidation type="list" allowBlank="1" showInputMessage="1" showErrorMessage="1" sqref="P24:P32 P34:P36 P66:P106 P6 P11:P22 P53:P63 P47 P49:P51 P41:P45 Q6:Q37 Q40:Q107">
      <x:formula1>#REF!</x:formula1>
    </x:dataValidation>
  </x:dataValidations>
  <x:pageMargins left="0.7" right="0.7" top="0.75" bottom="0.75" header="0.3" footer="0.3"/>
  <x:drawing xmlns:r="http://schemas.openxmlformats.org/officeDocument/2006/relationships" r:id="Ra48eb4f16ad44ef3"/>
  <x:tableParts count="3">
    <x:tablePart xmlns:r="http://schemas.openxmlformats.org/officeDocument/2006/relationships" r:id="Reb3e128b1fbd4918"/>
    <x:tablePart xmlns:r="http://schemas.openxmlformats.org/officeDocument/2006/relationships" r:id="R8cfb01416014494c"/>
    <x:tablePart xmlns:r="http://schemas.openxmlformats.org/officeDocument/2006/relationships" r:id="R65ad90a927fb459c"/>
  </x:tableParts>
</x:worksheet>
</file>

<file path=xl/worksheets/sheet2.xml><?xml version="1.0" encoding="utf-8"?>
<x:worksheet xmlns:x="http://schemas.openxmlformats.org/spreadsheetml/2006/main">
  <x:sheetPr>
    <x:tabColor rgb="FF00B050"/>
  </x:sheetPr>
  <x:sheetFormatPr baseColWidth="10" defaultRowHeight="15"/>
  <x:cols>
    <x:col min="1" max="1" width="13" style="16" customWidth="1"/>
    <x:col min="2" max="2" width="9.28515625" style="16" customWidth="1"/>
    <x:col min="3" max="3" width="48.42578125" style="16" customWidth="1"/>
    <x:col min="4" max="4" width="16.7109375" style="16" customWidth="1"/>
    <x:col min="5" max="5" width="28.42578125" style="16" customWidth="1"/>
    <x:col min="6" max="6" width="8.42578125" style="16" customWidth="1"/>
    <x:col min="7" max="7" width="7.5703125" style="16" customWidth="1"/>
  </x:cols>
  <x:sheetData>
    <x:row r="1">
      <x:c r="A1" s="72" t="s">
        <x:v>134</x:v>
      </x:c>
      <x:c r="B1" s="72" t="s">
        <x:v>135</x:v>
      </x:c>
      <x:c r="C1" s="72" t="s">
        <x:v>136</x:v>
      </x:c>
      <x:c r="D1" s="72" t="s">
        <x:v>137</x:v>
      </x:c>
      <x:c r="E1" s="72" t="s">
        <x:v>138</x:v>
      </x:c>
      <x:c r="F1" s="72" t="s">
        <x:v>139</x:v>
      </x:c>
      <x:c r="G1" s="73"/>
    </x:row>
    <x:row r="2" ht="15.75">
      <x:c r="A2" s="74">
        <x:v>46028</x:v>
      </x:c>
      <x:c r="B2" s="75" t="s">
        <x:v>98</x:v>
      </x:c>
      <x:c r="C2" s="76" t="str">
        <x:f>IFERROR(VLOOKUP(B2,EPP!$B$7:$D$64,2,FALSE),"")</x:f>
        <x:v>DELANTAL DE CARNAZA T UNICA</x:v>
      </x:c>
      <x:c r="D2" s="76" t="str">
        <x:f>IFERROR(VLOOKUP(B2,EPP!$B$7:$D$64,3,FALSE),"")</x:f>
        <x:v>Unidad </x:v>
      </x:c>
      <x:c r="E2" s="76" t="s">
        <x:v>140</x:v>
      </x:c>
      <x:c r="F2" s="76">
        <x:v>1</x:v>
      </x:c>
      <x:c r="G2" s="71"/>
    </x:row>
    <x:row r="3">
      <x:c r="A3" s="74">
        <x:v>46029</x:v>
      </x:c>
      <x:c r="B3" s="77" t="s">
        <x:v>52</x:v>
      </x:c>
      <x:c r="C3" s="76" t="str">
        <x:f>IFERROR(VLOOKUP(B3,EPP!$B$7:$D$64,2,FALSE),"")</x:f>
        <x:v>GUANTES DE NITRILO TL</x:v>
      </x:c>
      <x:c r="D3" s="76" t="str">
        <x:f>IFERROR(VLOOKUP(B3,EPP!$B$7:$D$64,3,FALSE),"")</x:f>
        <x:v>Par</x:v>
      </x:c>
      <x:c r="E3" s="76" t="s">
        <x:v>141</x:v>
      </x:c>
      <x:c r="F3" s="76">
        <x:v>1</x:v>
      </x:c>
      <x:c r="G3" s="71"/>
    </x:row>
    <x:row r="4">
      <x:c r="A4" s="74">
        <x:v>46029</x:v>
      </x:c>
      <x:c r="B4" s="76" t="s">
        <x:v>50</x:v>
      </x:c>
      <x:c r="C4" s="76" t="str">
        <x:f>IFERROR(VLOOKUP(B4,EPP!$B$7:$D$64,2,FALSE),"")</x:f>
        <x:v>TAPABOCAS INDUSTRIAL NEGRO</x:v>
      </x:c>
      <x:c r="D4" s="76" t="str">
        <x:f>IFERROR(VLOOKUP(B4,EPP!$B$7:$D$64,3,FALSE),"")</x:f>
        <x:v>Unidad </x:v>
      </x:c>
      <x:c r="E4" s="76" t="s">
        <x:v>142</x:v>
      </x:c>
      <x:c r="F4" s="76">
        <x:v>1</x:v>
      </x:c>
      <x:c r="G4" s="71"/>
    </x:row>
    <x:row r="5">
      <x:c r="A5" s="74">
        <x:v>46029</x:v>
      </x:c>
      <x:c r="B5" s="76" t="s">
        <x:v>68</x:v>
      </x:c>
      <x:c r="C5" s="76" t="str">
        <x:f>IFERROR(VLOOKUP(B5,EPP!$B$7:$D$64,2,FALSE),"")</x:f>
        <x:v>GUANTE NITRILO DOMESTICO T8</x:v>
      </x:c>
      <x:c r="D5" s="76" t="str">
        <x:f>IFERROR(VLOOKUP(B5,EPP!$B$7:$D$64,3,FALSE),"")</x:f>
        <x:v>Par</x:v>
      </x:c>
      <x:c r="E5" s="76" t="s">
        <x:v>142</x:v>
      </x:c>
      <x:c r="F5" s="76">
        <x:v>1</x:v>
      </x:c>
      <x:c r="G5" s="71"/>
    </x:row>
    <x:row r="6" ht="15.75">
      <x:c r="A6" s="74">
        <x:v>46029</x:v>
      </x:c>
      <x:c r="B6" s="75" t="s">
        <x:v>76</x:v>
      </x:c>
      <x:c r="C6" s="76" t="str">
        <x:f>IFERROR(VLOOKUP(B6,EPP!$B$7:$D$64,2,FALSE),"")</x:f>
        <x:v>GUANTE KIM- NITRILO ARENADO T8</x:v>
      </x:c>
      <x:c r="D6" s="76" t="str">
        <x:f>IFERROR(VLOOKUP(B6,EPP!$B$7:$D$64,3,FALSE),"")</x:f>
        <x:v>Par</x:v>
      </x:c>
      <x:c r="E6" s="76" t="s">
        <x:v>143</x:v>
      </x:c>
      <x:c r="F6" s="76">
        <x:v>1</x:v>
      </x:c>
      <x:c r="G6" s="71"/>
    </x:row>
    <x:row r="7">
      <x:c r="A7" s="74">
        <x:v>46029</x:v>
      </x:c>
      <x:c r="B7" s="76" t="s">
        <x:v>27</x:v>
      </x:c>
      <x:c r="C7" s="76" t="str">
        <x:f>IFERROR(VLOOKUP(B7,EPP!$B$7:$D$64,2,FALSE),"")</x:f>
        <x:v>GAFAS LENTE OSCURO</x:v>
      </x:c>
      <x:c r="D7" s="76" t="str">
        <x:f>IFERROR(VLOOKUP(B7,EPP!$B$7:$D$64,3,FALSE),"")</x:f>
        <x:v>Unidad </x:v>
      </x:c>
      <x:c r="E7" s="76" t="s">
        <x:v>140</x:v>
      </x:c>
      <x:c r="F7" s="76">
        <x:v>1</x:v>
      </x:c>
      <x:c r="G7" s="71"/>
    </x:row>
    <x:row r="8">
      <x:c r="A8" s="74">
        <x:v>46029</x:v>
      </x:c>
      <x:c r="B8" s="76" t="s">
        <x:v>74</x:v>
      </x:c>
      <x:c r="C8" s="76" t="str">
        <x:f>IFERROR(VLOOKUP(B8,EPP!$B$7:$D$64,2,FALSE),"")</x:f>
        <x:v>GUANTE ANTICORTE T9</x:v>
      </x:c>
      <x:c r="D8" s="76" t="str">
        <x:f>IFERROR(VLOOKUP(B8,EPP!$B$7:$D$64,3,FALSE),"")</x:f>
        <x:v>Par</x:v>
      </x:c>
      <x:c r="E8" s="76" t="s">
        <x:v>140</x:v>
      </x:c>
      <x:c r="F8" s="76">
        <x:v>1</x:v>
      </x:c>
      <x:c r="G8" s="71"/>
    </x:row>
    <x:row r="9">
      <x:c r="A9" s="74">
        <x:v>46030</x:v>
      </x:c>
      <x:c r="B9" s="76" t="s">
        <x:v>68</x:v>
      </x:c>
      <x:c r="C9" s="76" t="str">
        <x:f>IFERROR(VLOOKUP(B9,EPP!$B$7:$D$64,2,FALSE),"")</x:f>
        <x:v>GUANTE NITRILO DOMESTICO T8</x:v>
      </x:c>
      <x:c r="D9" s="76" t="str">
        <x:f>IFERROR(VLOOKUP(B9,EPP!$B$7:$D$64,3,FALSE),"")</x:f>
        <x:v>Par</x:v>
      </x:c>
      <x:c r="E9" s="76" t="s">
        <x:v>144</x:v>
      </x:c>
      <x:c r="F9" s="76">
        <x:v>1</x:v>
      </x:c>
      <x:c r="G9" s="71"/>
    </x:row>
    <x:row r="10">
      <x:c r="A10" s="74">
        <x:v>46030</x:v>
      </x:c>
      <x:c r="B10" s="77" t="s">
        <x:v>52</x:v>
      </x:c>
      <x:c r="C10" s="76" t="str">
        <x:f>IFERROR(VLOOKUP(B10,EPP!$B$7:$D$64,2,FALSE),"")</x:f>
        <x:v>GUANTES DE NITRILO TL</x:v>
      </x:c>
      <x:c r="D10" s="76" t="str">
        <x:f>IFERROR(VLOOKUP(B10,EPP!$B$7:$D$64,3,FALSE),"")</x:f>
        <x:v>Par</x:v>
      </x:c>
      <x:c r="E10" s="76" t="s">
        <x:v>144</x:v>
      </x:c>
      <x:c r="F10" s="76">
        <x:v>1</x:v>
      </x:c>
      <x:c r="G10" s="71"/>
    </x:row>
    <x:row r="11">
      <x:c r="A11" s="74">
        <x:v>46030</x:v>
      </x:c>
      <x:c r="B11" s="77" t="s">
        <x:v>52</x:v>
      </x:c>
      <x:c r="C11" s="76" t="str">
        <x:f>IFERROR(VLOOKUP(B11,EPP!$B$7:$D$64,2,FALSE),"")</x:f>
        <x:v>GUANTES DE NITRILO TL</x:v>
      </x:c>
      <x:c r="D11" s="76" t="str">
        <x:f>IFERROR(VLOOKUP(B11,EPP!$B$7:$D$64,3,FALSE),"")</x:f>
        <x:v>Par</x:v>
      </x:c>
      <x:c r="E11" s="76" t="s">
        <x:v>145</x:v>
      </x:c>
      <x:c r="F11" s="76">
        <x:v>1</x:v>
      </x:c>
      <x:c r="G11" s="71"/>
    </x:row>
    <x:row r="12">
      <x:c r="A12" s="74">
        <x:v>46031</x:v>
      </x:c>
      <x:c r="B12" s="76" t="s">
        <x:v>27</x:v>
      </x:c>
      <x:c r="C12" s="76" t="str">
        <x:f>IFERROR(VLOOKUP(B12,EPP!$B$7:$D$64,2,FALSE),"")</x:f>
        <x:v>GAFAS LENTE OSCURO</x:v>
      </x:c>
      <x:c r="D12" s="76" t="str">
        <x:f>IFERROR(VLOOKUP(B12,EPP!$B$7:$D$64,3,FALSE),"")</x:f>
        <x:v>Unidad </x:v>
      </x:c>
      <x:c r="E12" s="76" t="s">
        <x:v>146</x:v>
      </x:c>
      <x:c r="F12" s="76">
        <x:v>1</x:v>
      </x:c>
      <x:c r="G12" s="71"/>
    </x:row>
    <x:row r="13">
      <x:c r="A13" s="74">
        <x:v>46031</x:v>
      </x:c>
      <x:c r="B13" s="76" t="s">
        <x:v>29</x:v>
      </x:c>
      <x:c r="C13" s="76" t="str">
        <x:f>IFERROR(VLOOKUP(B13,EPP!$B$7:$D$64,2,FALSE),"")</x:f>
        <x:v>GAFAS LENTE CLARO</x:v>
      </x:c>
      <x:c r="D13" s="76" t="str">
        <x:f>IFERROR(VLOOKUP(B13,EPP!$B$7:$D$64,3,FALSE),"")</x:f>
        <x:v>Unidad </x:v>
      </x:c>
      <x:c r="E13" s="76" t="s">
        <x:v>143</x:v>
      </x:c>
      <x:c r="F13" s="76">
        <x:v>1</x:v>
      </x:c>
      <x:c r="G13" s="71"/>
    </x:row>
    <x:row r="14">
      <x:c r="A14" s="74">
        <x:v>46031</x:v>
      </x:c>
      <x:c r="B14" s="76" t="s">
        <x:v>46</x:v>
      </x:c>
      <x:c r="C14" s="76" t="str">
        <x:f>IFERROR(VLOOKUP(B14,EPP!$B$7:$D$64,2,FALSE),"")</x:f>
        <x:v>RESPIRADOR KN95</x:v>
      </x:c>
      <x:c r="D14" s="76" t="str">
        <x:f>IFERROR(VLOOKUP(B14,EPP!$B$7:$D$64,3,FALSE),"")</x:f>
        <x:v>Unidad </x:v>
      </x:c>
      <x:c r="E14" s="76" t="s">
        <x:v>143</x:v>
      </x:c>
      <x:c r="F14" s="76">
        <x:v>1</x:v>
      </x:c>
      <x:c r="G14" s="71"/>
    </x:row>
    <x:row r="15">
      <x:c r="A15" s="74">
        <x:v>46031</x:v>
      </x:c>
      <x:c r="B15" s="76" t="s">
        <x:v>29</x:v>
      </x:c>
      <x:c r="C15" s="76" t="str">
        <x:f>IFERROR(VLOOKUP(B15,EPP!$B$7:$D$64,2,FALSE),"")</x:f>
        <x:v>GAFAS LENTE CLARO</x:v>
      </x:c>
      <x:c r="D15" s="76" t="str">
        <x:f>IFERROR(VLOOKUP(B15,EPP!$B$7:$D$64,3,FALSE),"")</x:f>
        <x:v>Unidad </x:v>
      </x:c>
      <x:c r="E15" s="76" t="s">
        <x:v>147</x:v>
      </x:c>
      <x:c r="F15" s="76">
        <x:v>1</x:v>
      </x:c>
      <x:c r="G15" s="71"/>
    </x:row>
    <x:row r="16">
      <x:c r="A16" s="74">
        <x:v>46031</x:v>
      </x:c>
      <x:c r="B16" s="76" t="s">
        <x:v>74</x:v>
      </x:c>
      <x:c r="C16" s="76" t="str">
        <x:f>IFERROR(VLOOKUP(B16,EPP!$B$7:$D$64,2,FALSE),"")</x:f>
        <x:v>GUANTE ANTICORTE T9</x:v>
      </x:c>
      <x:c r="D16" s="76" t="str">
        <x:f>IFERROR(VLOOKUP(B16,EPP!$B$7:$D$64,3,FALSE),"")</x:f>
        <x:v>Par</x:v>
      </x:c>
      <x:c r="E16" s="76" t="s">
        <x:v>147</x:v>
      </x:c>
      <x:c r="F16" s="76">
        <x:v>1</x:v>
      </x:c>
      <x:c r="G16" s="71"/>
    </x:row>
    <x:row r="17">
      <x:c r="A17" s="74">
        <x:v>46032</x:v>
      </x:c>
      <x:c r="B17" s="76" t="s">
        <x:v>29</x:v>
      </x:c>
      <x:c r="C17" s="76" t="str">
        <x:f>IFERROR(VLOOKUP(B17,EPP!$B$7:$D$64,2,FALSE),"")</x:f>
        <x:v>GAFAS LENTE CLARO</x:v>
      </x:c>
      <x:c r="D17" s="76" t="str">
        <x:f>IFERROR(VLOOKUP(B17,EPP!$B$7:$D$64,3,FALSE),"")</x:f>
        <x:v>Unidad </x:v>
      </x:c>
      <x:c r="E17" s="76" t="s">
        <x:v>148</x:v>
      </x:c>
      <x:c r="F17" s="76">
        <x:v>1</x:v>
      </x:c>
      <x:c r="G17" s="71"/>
    </x:row>
    <x:row r="18">
      <x:c r="A18" s="74">
        <x:v>46032</x:v>
      </x:c>
      <x:c r="B18" s="76" t="s">
        <x:v>29</x:v>
      </x:c>
      <x:c r="C18" s="76" t="str">
        <x:f>IFERROR(VLOOKUP(B18,EPP!$B$7:$D$64,2,FALSE),"")</x:f>
        <x:v>GAFAS LENTE CLARO</x:v>
      </x:c>
      <x:c r="D18" s="76" t="str">
        <x:f>IFERROR(VLOOKUP(B18,EPP!$B$7:$D$64,3,FALSE),"")</x:f>
        <x:v>Unidad </x:v>
      </x:c>
      <x:c r="E18" s="76" t="s">
        <x:v>145</x:v>
      </x:c>
      <x:c r="F18" s="76">
        <x:v>1</x:v>
      </x:c>
      <x:c r="G18" s="71"/>
    </x:row>
    <x:row r="19">
      <x:c r="A19" s="74">
        <x:v>46032</x:v>
      </x:c>
      <x:c r="B19" s="76" t="s">
        <x:v>76</x:v>
      </x:c>
      <x:c r="C19" s="76" t="str">
        <x:f>IFERROR(VLOOKUP(B19,EPP!$B$7:$D$64,2,FALSE),"")</x:f>
        <x:v>GUANTE KIM- NITRILO ARENADO T8</x:v>
      </x:c>
      <x:c r="D19" s="76" t="str">
        <x:f>IFERROR(VLOOKUP(B19,EPP!$B$7:$D$64,3,FALSE),"")</x:f>
        <x:v>Par</x:v>
      </x:c>
      <x:c r="E19" s="76" t="s">
        <x:v>149</x:v>
      </x:c>
      <x:c r="F19" s="76">
        <x:v>1</x:v>
      </x:c>
      <x:c r="G19" s="71"/>
    </x:row>
    <x:row r="20">
      <x:c r="A20" s="74">
        <x:v>46032</x:v>
      </x:c>
      <x:c r="B20" s="76" t="s">
        <x:v>88</x:v>
      </x:c>
      <x:c r="C20" s="76" t="str">
        <x:f>IFERROR(VLOOKUP(B20,EPP!$B$7:$D$64,2,FALSE),"")</x:f>
        <x:v>PROTECTOR AUDITIVO INSERCIÓN</x:v>
      </x:c>
      <x:c r="D20" s="76" t="str">
        <x:f>IFERROR(VLOOKUP(B20,EPP!$B$7:$D$64,3,FALSE),"")</x:f>
        <x:v>Unidad </x:v>
      </x:c>
      <x:c r="E20" s="76" t="s">
        <x:v>149</x:v>
      </x:c>
      <x:c r="F20" s="76">
        <x:v>1</x:v>
      </x:c>
      <x:c r="G20" s="71"/>
    </x:row>
    <x:row r="21">
      <x:c r="A21" s="74">
        <x:v>46032</x:v>
      </x:c>
      <x:c r="B21" s="76" t="s">
        <x:v>29</x:v>
      </x:c>
      <x:c r="C21" s="76" t="str">
        <x:f>IFERROR(VLOOKUP(B21,EPP!$B$7:$D$64,2,FALSE),"")</x:f>
        <x:v>GAFAS LENTE CLARO</x:v>
      </x:c>
      <x:c r="D21" s="76" t="str">
        <x:f>IFERROR(VLOOKUP(B21,EPP!$B$7:$D$64,3,FALSE),"")</x:f>
        <x:v>Unidad </x:v>
      </x:c>
      <x:c r="E21" s="76" t="s">
        <x:v>142</x:v>
      </x:c>
      <x:c r="F21" s="76">
        <x:v>1</x:v>
      </x:c>
      <x:c r="G21" s="71"/>
    </x:row>
    <x:row r="22">
      <x:c r="A22" s="74">
        <x:v>46034</x:v>
      </x:c>
      <x:c r="B22" s="77" t="s">
        <x:v>52</x:v>
      </x:c>
      <x:c r="C22" s="76" t="str">
        <x:f>IFERROR(VLOOKUP(B22,EPP!$B$7:$D$64,2,FALSE),"")</x:f>
        <x:v>GUANTES DE NITRILO TL</x:v>
      </x:c>
      <x:c r="D22" s="76" t="str">
        <x:f>IFERROR(VLOOKUP(B22,EPP!$B$7:$D$64,3,FALSE),"")</x:f>
        <x:v>Par</x:v>
      </x:c>
      <x:c r="E22" s="76" t="s">
        <x:v>150</x:v>
      </x:c>
      <x:c r="F22" s="76">
        <x:v>1</x:v>
      </x:c>
      <x:c r="G22" s="71"/>
    </x:row>
    <x:row r="23" ht="15.75">
      <x:c r="A23" s="74">
        <x:v>46039</x:v>
      </x:c>
      <x:c r="B23" s="75" t="s">
        <x:v>29</x:v>
      </x:c>
      <x:c r="C23" s="76" t="str">
        <x:f>IFERROR(VLOOKUP(B23,EPP!$B$7:$D$64,2,FALSE),"")</x:f>
        <x:v>GAFAS LENTE CLARO</x:v>
      </x:c>
      <x:c r="D23" s="76" t="str">
        <x:f>IFERROR(VLOOKUP(B23,EPP!$B$7:$D$64,3,FALSE),"")</x:f>
        <x:v>Unidad </x:v>
      </x:c>
      <x:c r="E23" s="76" t="s">
        <x:v>151</x:v>
      </x:c>
      <x:c r="F23" s="76">
        <x:v>1</x:v>
      </x:c>
      <x:c r="G23" s="71"/>
    </x:row>
    <x:row r="24" ht="15.75">
      <x:c r="A24" s="74">
        <x:v>46041</x:v>
      </x:c>
      <x:c r="B24" s="75" t="s">
        <x:v>29</x:v>
      </x:c>
      <x:c r="C24" s="76" t="str">
        <x:f>IFERROR(VLOOKUP(B24,EPP!$B$7:$D$64,2,FALSE),"")</x:f>
        <x:v>GAFAS LENTE CLARO</x:v>
      </x:c>
      <x:c r="D24" s="76" t="str">
        <x:f>IFERROR(VLOOKUP(B24,EPP!$B$7:$D$64,3,FALSE),"")</x:f>
        <x:v>Unidad </x:v>
      </x:c>
      <x:c r="E24" s="76" t="s">
        <x:v>149</x:v>
      </x:c>
      <x:c r="F24" s="76">
        <x:v>1</x:v>
      </x:c>
      <x:c r="G24" s="71"/>
    </x:row>
    <x:row r="25" ht="15.75">
      <x:c r="A25" s="74">
        <x:v>46041</x:v>
      </x:c>
      <x:c r="B25" s="75" t="s">
        <x:v>76</x:v>
      </x:c>
      <x:c r="C25" s="76" t="str">
        <x:f>IFERROR(VLOOKUP(B25,EPP!$B$7:$D$64,2,FALSE),"")</x:f>
        <x:v>GUANTE KIM- NITRILO ARENADO T8</x:v>
      </x:c>
      <x:c r="D25" s="76" t="str">
        <x:f>IFERROR(VLOOKUP(B25,EPP!$B$7:$D$64,3,FALSE),"")</x:f>
        <x:v>Par</x:v>
      </x:c>
      <x:c r="E25" s="76" t="s">
        <x:v>149</x:v>
      </x:c>
      <x:c r="F25" s="76">
        <x:v>1</x:v>
      </x:c>
      <x:c r="G25" s="71"/>
    </x:row>
    <x:row r="26" ht="15.75">
      <x:c r="A26" s="74">
        <x:v>46042</x:v>
      </x:c>
      <x:c r="B26" s="75" t="s">
        <x:v>29</x:v>
      </x:c>
      <x:c r="C26" s="76" t="str">
        <x:f>IFERROR(VLOOKUP(B26,EPP!$B$7:$D$64,2,FALSE),"")</x:f>
        <x:v>GAFAS LENTE CLARO</x:v>
      </x:c>
      <x:c r="D26" s="76" t="str">
        <x:f>IFERROR(VLOOKUP(B26,EPP!$B$7:$D$64,3,FALSE),"")</x:f>
        <x:v>Unidad </x:v>
      </x:c>
      <x:c r="E26" s="76" t="s">
        <x:v>147</x:v>
      </x:c>
      <x:c r="F26" s="76">
        <x:v>1</x:v>
      </x:c>
      <x:c r="G26" s="71"/>
    </x:row>
    <x:row r="27" ht="15.75">
      <x:c r="A27" s="74">
        <x:v>46042</x:v>
      </x:c>
      <x:c r="B27" s="75" t="s">
        <x:v>37</x:v>
      </x:c>
      <x:c r="C27" s="76" t="str">
        <x:f>IFERROR(VLOOKUP(B27,EPP!$B$7:$D$64,2,FALSE),"")</x:f>
        <x:v>VISOR  MALLA GUADAÑA</x:v>
      </x:c>
      <x:c r="D27" s="76" t="str">
        <x:f>IFERROR(VLOOKUP(B27,EPP!$B$7:$D$64,3,FALSE),"")</x:f>
        <x:v>Unidad </x:v>
      </x:c>
      <x:c r="E27" s="76" t="s">
        <x:v>147</x:v>
      </x:c>
      <x:c r="F27" s="76">
        <x:v>1</x:v>
      </x:c>
      <x:c r="G27" s="71"/>
    </x:row>
    <x:row r="28" ht="15.75">
      <x:c r="A28" s="74">
        <x:v>46044</x:v>
      </x:c>
      <x:c r="B28" s="75" t="s">
        <x:v>18</x:v>
      </x:c>
      <x:c r="C28" s="76" t="str">
        <x:f>IFERROR(VLOOKUP(B28,EPP!$B$7:$D$64,2,FALSE),"")</x:f>
        <x:v>COFIA</x:v>
      </x:c>
      <x:c r="D28" s="76" t="str">
        <x:f>IFERROR(VLOOKUP(B28,EPP!$B$7:$D$64,3,FALSE),"")</x:f>
        <x:v>Unidad </x:v>
      </x:c>
      <x:c r="E28" s="76" t="s">
        <x:v>152</x:v>
      </x:c>
      <x:c r="F28" s="76">
        <x:v>1</x:v>
      </x:c>
      <x:c r="G28" s="71"/>
    </x:row>
    <x:row r="29" ht="15.75">
      <x:c r="A29" s="74">
        <x:v>46045</x:v>
      </x:c>
      <x:c r="B29" s="75" t="s">
        <x:v>29</x:v>
      </x:c>
      <x:c r="C29" s="76" t="str">
        <x:f>IFERROR(VLOOKUP(B29,EPP!$B$7:$D$64,2,FALSE),"")</x:f>
        <x:v>GAFAS LENTE CLARO</x:v>
      </x:c>
      <x:c r="D29" s="76" t="str">
        <x:f>IFERROR(VLOOKUP(B29,EPP!$B$7:$D$64,3,FALSE),"")</x:f>
        <x:v>Unidad </x:v>
      </x:c>
      <x:c r="E29" s="76" t="s">
        <x:v>145</x:v>
      </x:c>
      <x:c r="F29" s="76">
        <x:v>1</x:v>
      </x:c>
      <x:c r="G29" s="71"/>
    </x:row>
    <x:row r="30" ht="15.75">
      <x:c r="A30" s="74">
        <x:v>46045</x:v>
      </x:c>
      <x:c r="B30" s="75" t="s">
        <x:v>76</x:v>
      </x:c>
      <x:c r="C30" s="76" t="str">
        <x:f>IFERROR(VLOOKUP(B30,EPP!$B$7:$D$64,2,FALSE),"")</x:f>
        <x:v>GUANTE KIM- NITRILO ARENADO T8</x:v>
      </x:c>
      <x:c r="D30" s="76" t="str">
        <x:f>IFERROR(VLOOKUP(B30,EPP!$B$7:$D$64,3,FALSE),"")</x:f>
        <x:v>Par</x:v>
      </x:c>
      <x:c r="E30" s="76" t="s">
        <x:v>145</x:v>
      </x:c>
      <x:c r="F30" s="76">
        <x:v>1</x:v>
      </x:c>
      <x:c r="G30" s="71"/>
    </x:row>
    <x:row r="31" ht="15.75">
      <x:c r="A31" s="74">
        <x:v>46046</x:v>
      </x:c>
      <x:c r="B31" s="75" t="s">
        <x:v>29</x:v>
      </x:c>
      <x:c r="C31" s="76" t="str">
        <x:f>IFERROR(VLOOKUP(B31,EPP!$B$7:$D$64,2,FALSE),"")</x:f>
        <x:v>GAFAS LENTE CLARO</x:v>
      </x:c>
      <x:c r="D31" s="76" t="str">
        <x:f>IFERROR(VLOOKUP(B31,EPP!$B$7:$D$64,3,FALSE),"")</x:f>
        <x:v>Unidad </x:v>
      </x:c>
      <x:c r="E31" s="76" t="s">
        <x:v>141</x:v>
      </x:c>
      <x:c r="F31" s="76">
        <x:v>1</x:v>
      </x:c>
      <x:c r="G31" s="71"/>
    </x:row>
    <x:row r="32" ht="15.75">
      <x:c r="A32" s="74">
        <x:v>46046</x:v>
      </x:c>
      <x:c r="B32" s="75" t="s">
        <x:v>88</x:v>
      </x:c>
      <x:c r="C32" s="76" t="str">
        <x:f>IFERROR(VLOOKUP(B32,EPP!$B$7:$D$64,2,FALSE),"")</x:f>
        <x:v>PROTECTOR AUDITIVO INSERCIÓN</x:v>
      </x:c>
      <x:c r="D32" s="76" t="str">
        <x:f>IFERROR(VLOOKUP(B32,EPP!$B$7:$D$64,3,FALSE),"")</x:f>
        <x:v>Unidad </x:v>
      </x:c>
      <x:c r="E32" s="76" t="s">
        <x:v>141</x:v>
      </x:c>
      <x:c r="F32" s="76">
        <x:v>1</x:v>
      </x:c>
      <x:c r="G32" s="71"/>
    </x:row>
    <x:row r="33" ht="15.75">
      <x:c r="A33" s="74">
        <x:v>46048</x:v>
      </x:c>
      <x:c r="B33" s="78" t="s">
        <x:v>21</x:v>
      </x:c>
      <x:c r="C33" s="76" t="str">
        <x:f>IFERROR(VLOOKUP(B33,EPP!$B$7:$D$64,2,FALSE),"")</x:f>
        <x:v>SOMBRERO TIPO SAFARY</x:v>
      </x:c>
      <x:c r="D33" s="76" t="str">
        <x:f>IFERROR(VLOOKUP(B33,EPP!$B$7:$D$64,3,FALSE),"")</x:f>
        <x:v>Unidad </x:v>
      </x:c>
      <x:c r="E33" s="76" t="s">
        <x:v>153</x:v>
      </x:c>
      <x:c r="F33" s="76">
        <x:v>1</x:v>
      </x:c>
      <x:c r="G33" s="71"/>
    </x:row>
    <x:row r="34" ht="15.75">
      <x:c r="A34" s="74">
        <x:v>46048</x:v>
      </x:c>
      <x:c r="B34" s="75" t="s">
        <x:v>29</x:v>
      </x:c>
      <x:c r="C34" s="76" t="str">
        <x:f>IFERROR(VLOOKUP(B34,EPP!$B$7:$D$64,2,FALSE),"")</x:f>
        <x:v>GAFAS LENTE CLARO</x:v>
      </x:c>
      <x:c r="D34" s="76" t="str">
        <x:f>IFERROR(VLOOKUP(B34,EPP!$B$7:$D$64,3,FALSE),"")</x:f>
        <x:v>Unidad </x:v>
      </x:c>
      <x:c r="E34" s="76" t="s">
        <x:v>153</x:v>
      </x:c>
      <x:c r="F34" s="76">
        <x:v>1</x:v>
      </x:c>
      <x:c r="G34" s="71"/>
    </x:row>
    <x:row r="35" ht="15.75">
      <x:c r="A35" s="74">
        <x:v>46048</x:v>
      </x:c>
      <x:c r="B35" s="75" t="s">
        <x:v>39</x:v>
      </x:c>
      <x:c r="C35" s="76" t="str">
        <x:f>IFERROR(VLOOKUP(B35,EPP!$B$7:$D$64,2,FALSE),"")</x:f>
        <x:v>MASCARA RESPIRADOR MEDIA CARA 3M 6200 TM </x:v>
      </x:c>
      <x:c r="D35" s="76" t="str">
        <x:f>IFERROR(VLOOKUP(B35,EPP!$B$7:$D$64,3,FALSE),"")</x:f>
        <x:v>Par</x:v>
      </x:c>
      <x:c r="E35" s="76" t="s">
        <x:v>153</x:v>
      </x:c>
      <x:c r="F35" s="76">
        <x:v>1</x:v>
      </x:c>
      <x:c r="G35" s="71"/>
    </x:row>
    <x:row r="36" ht="15.75">
      <x:c r="A36" s="74">
        <x:v>46048</x:v>
      </x:c>
      <x:c r="B36" s="75" t="s">
        <x:v>42</x:v>
      </x:c>
      <x:c r="C36" s="76" t="str">
        <x:f>IFERROR(VLOOKUP(B36,EPP!$B$7:$D$64,2,FALSE),"")</x:f>
        <x:v>FILTROS PARA MASCARA 6003</x:v>
      </x:c>
      <x:c r="D36" s="76" t="str">
        <x:f>IFERROR(VLOOKUP(B36,EPP!$B$7:$D$64,3,FALSE),"")</x:f>
        <x:v>Par</x:v>
      </x:c>
      <x:c r="E36" s="76" t="s">
        <x:v>153</x:v>
      </x:c>
      <x:c r="F36" s="76">
        <x:v>1</x:v>
      </x:c>
      <x:c r="G36" s="71"/>
    </x:row>
    <x:row r="37" ht="15.75">
      <x:c r="A37" s="74">
        <x:v>46048</x:v>
      </x:c>
      <x:c r="B37" s="75" t="s">
        <x:v>76</x:v>
      </x:c>
      <x:c r="C37" s="76" t="str">
        <x:f>IFERROR(VLOOKUP(B37,EPP!$B$7:$D$64,2,FALSE),"")</x:f>
        <x:v>GUANTE KIM- NITRILO ARENADO T8</x:v>
      </x:c>
      <x:c r="D37" s="76" t="str">
        <x:f>IFERROR(VLOOKUP(B37,EPP!$B$7:$D$64,3,FALSE),"")</x:f>
        <x:v>Par</x:v>
      </x:c>
      <x:c r="E37" s="76" t="s">
        <x:v>153</x:v>
      </x:c>
      <x:c r="F37" s="76">
        <x:v>1</x:v>
      </x:c>
      <x:c r="G37" s="71"/>
    </x:row>
    <x:row r="38">
      <x:c r="A38" s="74">
        <x:v>46048</x:v>
      </x:c>
      <x:c r="B38" s="76" t="s">
        <x:v>130</x:v>
      </x:c>
      <x:c r="C38" s="76" t="str">
        <x:f>IFERROR(VLOOKUP(B38,EPP!$B$7:$D$64,2,FALSE),"")</x:f>
        <x:v>IMPERMEABLE M</x:v>
      </x:c>
      <x:c r="D38" s="76" t="str">
        <x:f>IFERROR(VLOOKUP(B38,EPP!$B$7:$D$64,3,FALSE),"")</x:f>
        <x:v>Unidad </x:v>
      </x:c>
      <x:c r="E38" s="76" t="s">
        <x:v>153</x:v>
      </x:c>
      <x:c r="F38" s="76">
        <x:v>1</x:v>
      </x:c>
      <x:c r="G38" s="71"/>
    </x:row>
    <x:row r="39" ht="15.75">
      <x:c r="A39" s="74">
        <x:v>46048</x:v>
      </x:c>
      <x:c r="B39" s="75" t="s">
        <x:v>76</x:v>
      </x:c>
      <x:c r="C39" s="76" t="str">
        <x:f>IFERROR(VLOOKUP(B39,EPP!$B$7:$D$64,2,FALSE),"")</x:f>
        <x:v>GUANTE KIM- NITRILO ARENADO T8</x:v>
      </x:c>
      <x:c r="D39" s="76" t="str">
        <x:f>IFERROR(VLOOKUP(B39,EPP!$B$7:$D$64,3,FALSE),"")</x:f>
        <x:v>Par</x:v>
      </x:c>
      <x:c r="E39" s="76" t="s">
        <x:v>154</x:v>
      </x:c>
      <x:c r="F39" s="76">
        <x:v>1</x:v>
      </x:c>
      <x:c r="G39" s="71"/>
    </x:row>
    <x:row r="40" ht="15.75">
      <x:c r="A40" s="74">
        <x:v>46048</x:v>
      </x:c>
      <x:c r="B40" s="75" t="s">
        <x:v>29</x:v>
      </x:c>
      <x:c r="C40" s="76" t="str">
        <x:f>IFERROR(VLOOKUP(B40,EPP!$B$7:$D$64,2,FALSE),"")</x:f>
        <x:v>GAFAS LENTE CLARO</x:v>
      </x:c>
      <x:c r="D40" s="76" t="str">
        <x:f>IFERROR(VLOOKUP(B40,EPP!$B$7:$D$64,3,FALSE),"")</x:f>
        <x:v>Unidad </x:v>
      </x:c>
      <x:c r="E40" s="76" t="s">
        <x:v>154</x:v>
      </x:c>
      <x:c r="F40" s="76">
        <x:v>1</x:v>
      </x:c>
      <x:c r="G40" s="71"/>
    </x:row>
    <x:row r="41" ht="15.75">
      <x:c r="A41" s="74">
        <x:v>46049</x:v>
      </x:c>
      <x:c r="B41" s="75" t="s">
        <x:v>18</x:v>
      </x:c>
      <x:c r="C41" s="76" t="str">
        <x:f>IFERROR(VLOOKUP(B41,EPP!$B$7:$D$64,2,FALSE),"")</x:f>
        <x:v>COFIA</x:v>
      </x:c>
      <x:c r="D41" s="76" t="str">
        <x:f>IFERROR(VLOOKUP(B41,EPP!$B$7:$D$64,3,FALSE),"")</x:f>
        <x:v>Unidad </x:v>
      </x:c>
      <x:c r="E41" s="76" t="s">
        <x:v>155</x:v>
      </x:c>
      <x:c r="F41" s="76">
        <x:v>1</x:v>
      </x:c>
      <x:c r="G41" s="71"/>
    </x:row>
    <x:row r="42" ht="15.75">
      <x:c r="A42" s="74">
        <x:v>46049</x:v>
      </x:c>
      <x:c r="B42" s="75" t="s">
        <x:v>76</x:v>
      </x:c>
      <x:c r="C42" s="76" t="str">
        <x:f>IFERROR(VLOOKUP(B42,EPP!$B$7:$D$64,2,FALSE),"")</x:f>
        <x:v>GUANTE KIM- NITRILO ARENADO T8</x:v>
      </x:c>
      <x:c r="D42" s="76" t="str">
        <x:f>IFERROR(VLOOKUP(B42,EPP!$B$7:$D$64,3,FALSE),"")</x:f>
        <x:v>Par</x:v>
      </x:c>
      <x:c r="E42" s="76" t="s">
        <x:v>156</x:v>
      </x:c>
      <x:c r="F42" s="76">
        <x:v>1</x:v>
      </x:c>
      <x:c r="G42" s="71"/>
    </x:row>
    <x:row r="43" ht="15.75">
      <x:c r="A43" s="74">
        <x:v>46050</x:v>
      </x:c>
      <x:c r="B43" s="75" t="s">
        <x:v>29</x:v>
      </x:c>
      <x:c r="C43" s="76" t="str">
        <x:f>IFERROR(VLOOKUP(B43,EPP!$B$7:$D$64,2,FALSE),"")</x:f>
        <x:v>GAFAS LENTE CLARO</x:v>
      </x:c>
      <x:c r="D43" s="76" t="str">
        <x:f>IFERROR(VLOOKUP(B43,EPP!$B$7:$D$64,3,FALSE),"")</x:f>
        <x:v>Unidad </x:v>
      </x:c>
      <x:c r="E43" s="76" t="s">
        <x:v>150</x:v>
      </x:c>
      <x:c r="F43" s="76">
        <x:v>1</x:v>
      </x:c>
      <x:c r="G43" s="71"/>
    </x:row>
    <x:row r="44" ht="15.75">
      <x:c r="A44" s="74">
        <x:v>46050</x:v>
      </x:c>
      <x:c r="B44" s="75" t="s">
        <x:v>76</x:v>
      </x:c>
      <x:c r="C44" s="76" t="str">
        <x:f>IFERROR(VLOOKUP(B44,EPP!$B$7:$D$64,2,FALSE),"")</x:f>
        <x:v>GUANTE KIM- NITRILO ARENADO T8</x:v>
      </x:c>
      <x:c r="D44" s="76" t="str">
        <x:f>IFERROR(VLOOKUP(B44,EPP!$B$7:$D$64,3,FALSE),"")</x:f>
        <x:v>Par</x:v>
      </x:c>
      <x:c r="E44" s="76" t="s">
        <x:v>150</x:v>
      </x:c>
      <x:c r="F44" s="76">
        <x:v>1</x:v>
      </x:c>
      <x:c r="G44" s="71"/>
    </x:row>
    <x:row r="45">
      <x:c r="A45" s="74">
        <x:v>46055</x:v>
      </x:c>
      <x:c r="B45" s="76" t="s">
        <x:v>76</x:v>
      </x:c>
      <x:c r="C45" s="76" t="str">
        <x:f>IFERROR(VLOOKUP(B45,EPP!$B$7:$D$64,2,FALSE),"")</x:f>
        <x:v>GUANTE KIM- NITRILO ARENADO T8</x:v>
      </x:c>
      <x:c r="D45" s="76" t="str">
        <x:f>IFERROR(VLOOKUP(B45,EPP!$B$7:$D$64,3,FALSE),"")</x:f>
        <x:v>Par</x:v>
      </x:c>
      <x:c r="E45" s="76" t="s">
        <x:v>143</x:v>
      </x:c>
      <x:c r="F45" s="76">
        <x:v>1</x:v>
      </x:c>
      <x:c r="G45" s="71"/>
    </x:row>
    <x:row r="46">
      <x:c r="A46" s="74">
        <x:v>46055</x:v>
      </x:c>
      <x:c r="B46" s="76" t="s">
        <x:v>132</x:v>
      </x:c>
      <x:c r="C46" s="76" t="str">
        <x:f>IFERROR(VLOOKUP(B46,EPP!$B$7:$D$64,2,FALSE),"")</x:f>
        <x:v>CASQUETE PORTAVISOR AMARILLO</x:v>
      </x:c>
      <x:c r="D46" s="76" t="str">
        <x:f>IFERROR(VLOOKUP(B46,EPP!$B$7:$D$64,3,FALSE),"")</x:f>
        <x:v>Unidad </x:v>
      </x:c>
      <x:c r="E46" s="76" t="s">
        <x:v>157</x:v>
      </x:c>
      <x:c r="F46" s="76">
        <x:v>1</x:v>
      </x:c>
      <x:c r="G46" s="71"/>
    </x:row>
    <x:row r="47">
      <x:c r="A47" s="74">
        <x:v>46055</x:v>
      </x:c>
      <x:c r="B47" s="76" t="s">
        <x:v>124</x:v>
      </x:c>
      <x:c r="C47" s="76" t="str">
        <x:f>IFERROR(VLOOKUP(B47,EPP!$B$7:$D$64,2,FALSE),"")</x:f>
        <x:v>ARNES DE GUADAÑA </x:v>
      </x:c>
      <x:c r="D47" s="76" t="str">
        <x:f>IFERROR(VLOOKUP(B47,EPP!$B$7:$D$64,3,FALSE),"")</x:f>
        <x:v>Unidad </x:v>
      </x:c>
      <x:c r="E47" s="76" t="s">
        <x:v>157</x:v>
      </x:c>
      <x:c r="F47" s="76">
        <x:v>1</x:v>
      </x:c>
      <x:c r="G47" s="71"/>
    </x:row>
    <x:row r="48">
      <x:c r="A48" s="74">
        <x:v>46055</x:v>
      </x:c>
      <x:c r="B48" s="76" t="s">
        <x:v>104</x:v>
      </x:c>
      <x:c r="C48" s="76" t="str">
        <x:f>IFERROR(VLOOKUP(B48,EPP!$B$7:$D$64,2,FALSE),"")</x:f>
        <x:v>DELANTAL GUADAÑADOR</x:v>
      </x:c>
      <x:c r="D48" s="76" t="str">
        <x:f>IFERROR(VLOOKUP(B48,EPP!$B$7:$D$64,3,FALSE),"")</x:f>
        <x:v>Unidad </x:v>
      </x:c>
      <x:c r="E48" s="76" t="s">
        <x:v>157</x:v>
      </x:c>
      <x:c r="F48" s="76">
        <x:v>1</x:v>
      </x:c>
      <x:c r="G48" s="71"/>
    </x:row>
    <x:row r="49">
      <x:c r="A49" s="74">
        <x:v>46055</x:v>
      </x:c>
      <x:c r="B49" s="76" t="s">
        <x:v>128</x:v>
      </x:c>
      <x:c r="C49" s="76" t="str">
        <x:f>IFERROR(VLOOKUP(B49,EPP!$B$7:$D$64,2,FALSE),"")</x:f>
        <x:v>IMPERMEABLE L</x:v>
      </x:c>
      <x:c r="D49" s="76" t="str">
        <x:f>IFERROR(VLOOKUP(B49,EPP!$B$7:$D$64,3,FALSE),"")</x:f>
        <x:v>Unidad </x:v>
      </x:c>
      <x:c r="E49" s="76" t="s">
        <x:v>157</x:v>
      </x:c>
      <x:c r="F49" s="76">
        <x:v>1</x:v>
      </x:c>
      <x:c r="G49" s="71"/>
    </x:row>
    <x:row r="50" ht="15.75">
      <x:c r="A50" s="74">
        <x:v>46055</x:v>
      </x:c>
      <x:c r="B50" s="75" t="s">
        <x:v>92</x:v>
      </x:c>
      <x:c r="C50" s="76" t="str">
        <x:f>IFERROR(VLOOKUP(B50,EPP!$B$7:$D$64,2,FALSE),"")</x:f>
        <x:v>CANILLERA CORTA </x:v>
      </x:c>
      <x:c r="D50" s="76" t="str">
        <x:f>IFERROR(VLOOKUP(B50,EPP!$B$7:$D$64,3,FALSE),"")</x:f>
        <x:v>Par</x:v>
      </x:c>
      <x:c r="E50" s="76" t="s">
        <x:v>157</x:v>
      </x:c>
      <x:c r="F50" s="76">
        <x:v>1</x:v>
      </x:c>
      <x:c r="G50" s="71"/>
    </x:row>
    <x:row r="51" ht="15.75">
      <x:c r="A51" s="74">
        <x:v>46055</x:v>
      </x:c>
      <x:c r="B51" s="75" t="s">
        <x:v>88</x:v>
      </x:c>
      <x:c r="C51" s="76" t="str">
        <x:f>IFERROR(VLOOKUP(B51,EPP!$B$7:$D$64,2,FALSE),"")</x:f>
        <x:v>PROTECTOR AUDITIVO INSERCIÓN</x:v>
      </x:c>
      <x:c r="D51" s="76" t="str">
        <x:f>IFERROR(VLOOKUP(B51,EPP!$B$7:$D$64,3,FALSE),"")</x:f>
        <x:v>Unidad </x:v>
      </x:c>
      <x:c r="E51" s="76" t="s">
        <x:v>157</x:v>
      </x:c>
      <x:c r="F51" s="76">
        <x:v>1</x:v>
      </x:c>
      <x:c r="G51" s="71"/>
    </x:row>
    <x:row r="52" ht="15.75">
      <x:c r="A52" s="74">
        <x:v>46055</x:v>
      </x:c>
      <x:c r="B52" s="75" t="s">
        <x:v>78</x:v>
      </x:c>
      <x:c r="C52" s="76" t="str">
        <x:f>IFERROR(VLOOKUP(B52,EPP!$B$7:$D$64,2,FALSE),"")</x:f>
        <x:v>GUANTE KIM- NITRILO ARENADO T9</x:v>
      </x:c>
      <x:c r="D52" s="76" t="str">
        <x:f>IFERROR(VLOOKUP(B52,EPP!$B$7:$D$64,3,FALSE),"")</x:f>
        <x:v>Par</x:v>
      </x:c>
      <x:c r="E52" s="76" t="s">
        <x:v>157</x:v>
      </x:c>
      <x:c r="F52" s="76">
        <x:v>1</x:v>
      </x:c>
      <x:c r="G52" s="71"/>
    </x:row>
    <x:row r="53" ht="15.75">
      <x:c r="A53" s="74">
        <x:v>46055</x:v>
      </x:c>
      <x:c r="B53" s="75" t="s">
        <x:v>27</x:v>
      </x:c>
      <x:c r="C53" s="76" t="str">
        <x:f>IFERROR(VLOOKUP(B53,EPP!$B$7:$D$64,2,FALSE),"")</x:f>
        <x:v>GAFAS LENTE OSCURO</x:v>
      </x:c>
      <x:c r="D53" s="76" t="str">
        <x:f>IFERROR(VLOOKUP(B53,EPP!$B$7:$D$64,3,FALSE),"")</x:f>
        <x:v>Unidad </x:v>
      </x:c>
      <x:c r="E53" s="76" t="s">
        <x:v>157</x:v>
      </x:c>
      <x:c r="F53" s="76">
        <x:v>1</x:v>
      </x:c>
      <x:c r="G53" s="71"/>
    </x:row>
    <x:row r="54" ht="15.75">
      <x:c r="A54" s="74">
        <x:v>46055</x:v>
      </x:c>
      <x:c r="B54" s="75" t="s">
        <x:v>29</x:v>
      </x:c>
      <x:c r="C54" s="76" t="str">
        <x:f>IFERROR(VLOOKUP(B54,EPP!$B$7:$D$64,2,FALSE),"")</x:f>
        <x:v>GAFAS LENTE CLARO</x:v>
      </x:c>
      <x:c r="D54" s="76" t="str">
        <x:f>IFERROR(VLOOKUP(B54,EPP!$B$7:$D$64,3,FALSE),"")</x:f>
        <x:v>Unidad </x:v>
      </x:c>
      <x:c r="E54" s="76" t="s">
        <x:v>157</x:v>
      </x:c>
      <x:c r="F54" s="76">
        <x:v>1</x:v>
      </x:c>
      <x:c r="G54" s="71"/>
    </x:row>
    <x:row r="55" ht="15.75">
      <x:c r="A55" s="74">
        <x:v>46055</x:v>
      </x:c>
      <x:c r="B55" s="78" t="s">
        <x:v>21</x:v>
      </x:c>
      <x:c r="C55" s="76" t="str">
        <x:f>IFERROR(VLOOKUP(B55,EPP!$B$7:$D$64,2,FALSE),"")</x:f>
        <x:v>SOMBRERO TIPO SAFARY</x:v>
      </x:c>
      <x:c r="D55" s="76" t="str">
        <x:f>IFERROR(VLOOKUP(B55,EPP!$B$7:$D$64,3,FALSE),"")</x:f>
        <x:v>Unidad </x:v>
      </x:c>
      <x:c r="E55" s="76" t="s">
        <x:v>157</x:v>
      </x:c>
      <x:c r="F55" s="76">
        <x:v>1</x:v>
      </x:c>
      <x:c r="G55" s="71"/>
    </x:row>
    <x:row r="56" ht="15.75">
      <x:c r="A56" s="74">
        <x:v>46055</x:v>
      </x:c>
      <x:c r="B56" s="75" t="s">
        <x:v>29</x:v>
      </x:c>
      <x:c r="C56" s="76" t="str">
        <x:f>IFERROR(VLOOKUP(B56,EPP!$B$7:$D$64,2,FALSE),"")</x:f>
        <x:v>GAFAS LENTE CLARO</x:v>
      </x:c>
      <x:c r="D56" s="76" t="str">
        <x:f>IFERROR(VLOOKUP(B56,EPP!$B$7:$D$64,3,FALSE),"")</x:f>
        <x:v>Unidad </x:v>
      </x:c>
      <x:c r="E56" s="76" t="s">
        <x:v>143</x:v>
      </x:c>
      <x:c r="F56" s="76">
        <x:v>1</x:v>
      </x:c>
      <x:c r="G56" s="71"/>
    </x:row>
    <x:row r="57">
      <x:c r="A57" s="74">
        <x:v>46056</x:v>
      </x:c>
      <x:c r="B57" s="76" t="s">
        <x:v>78</x:v>
      </x:c>
      <x:c r="C57" s="76" t="str">
        <x:f>IFERROR(VLOOKUP(B57,EPP!$B$7:$D$64,2,FALSE),"")</x:f>
        <x:v>GUANTE KIM- NITRILO ARENADO T9</x:v>
      </x:c>
      <x:c r="D57" s="76" t="str">
        <x:f>IFERROR(VLOOKUP(B57,EPP!$B$7:$D$64,3,FALSE),"")</x:f>
        <x:v>Par</x:v>
      </x:c>
      <x:c r="E57" s="76" t="s">
        <x:v>142</x:v>
      </x:c>
      <x:c r="F57" s="76">
        <x:v>1</x:v>
      </x:c>
      <x:c r="G57" s="71"/>
    </x:row>
    <x:row r="58" ht="15.75">
      <x:c r="A58" s="74">
        <x:v>46057</x:v>
      </x:c>
      <x:c r="B58" s="75" t="s">
        <x:v>78</x:v>
      </x:c>
      <x:c r="C58" s="76" t="str">
        <x:f>IFERROR(VLOOKUP(B58,EPP!$B$7:$D$64,2,FALSE),"")</x:f>
        <x:v>GUANTE KIM- NITRILO ARENADO T9</x:v>
      </x:c>
      <x:c r="D58" s="76" t="str">
        <x:f>IFERROR(VLOOKUP(B58,EPP!$B$7:$D$64,3,FALSE),"")</x:f>
        <x:v>Par</x:v>
      </x:c>
      <x:c r="E58" s="76" t="s">
        <x:v>149</x:v>
      </x:c>
      <x:c r="F58" s="76">
        <x:v>1</x:v>
      </x:c>
      <x:c r="G58" s="71"/>
    </x:row>
    <x:row r="59" ht="15.75">
      <x:c r="A59" s="74">
        <x:v>46057</x:v>
      </x:c>
      <x:c r="B59" s="75" t="s">
        <x:v>27</x:v>
      </x:c>
      <x:c r="C59" s="76" t="str">
        <x:f>IFERROR(VLOOKUP(B59,EPP!$B$7:$D$64,2,FALSE),"")</x:f>
        <x:v>GAFAS LENTE OSCURO</x:v>
      </x:c>
      <x:c r="D59" s="76" t="str">
        <x:f>IFERROR(VLOOKUP(B59,EPP!$B$7:$D$64,3,FALSE),"")</x:f>
        <x:v>Unidad </x:v>
      </x:c>
      <x:c r="E59" s="76" t="s">
        <x:v>149</x:v>
      </x:c>
      <x:c r="F59" s="76">
        <x:v>1</x:v>
      </x:c>
      <x:c r="G59" s="71"/>
    </x:row>
    <x:row r="60" ht="15.75">
      <x:c r="A60" s="74">
        <x:v>46057</x:v>
      </x:c>
      <x:c r="B60" s="75" t="s">
        <x:v>50</x:v>
      </x:c>
      <x:c r="C60" s="76" t="str">
        <x:f>IFERROR(VLOOKUP(B60,EPP!$B$7:$D$64,2,FALSE),"")</x:f>
        <x:v>TAPABOCAS INDUSTRIAL NEGRO</x:v>
      </x:c>
      <x:c r="D60" s="76" t="str">
        <x:f>IFERROR(VLOOKUP(B60,EPP!$B$7:$D$64,3,FALSE),"")</x:f>
        <x:v>Unidad </x:v>
      </x:c>
      <x:c r="E60" s="76" t="s">
        <x:v>145</x:v>
      </x:c>
      <x:c r="F60" s="76">
        <x:v>1</x:v>
      </x:c>
      <x:c r="G60" s="71"/>
    </x:row>
    <x:row r="61">
      <x:c r="A61" s="74">
        <x:v>46057</x:v>
      </x:c>
      <x:c r="B61" s="76" t="s">
        <x:v>27</x:v>
      </x:c>
      <x:c r="C61" s="76" t="str">
        <x:f>IFERROR(VLOOKUP(B61,EPP!$B$7:$D$64,2,FALSE),"")</x:f>
        <x:v>GAFAS LENTE OSCURO</x:v>
      </x:c>
      <x:c r="D61" s="76" t="str">
        <x:f>IFERROR(VLOOKUP(B61,EPP!$B$7:$D$64,3,FALSE),"")</x:f>
        <x:v>Unidad </x:v>
      </x:c>
      <x:c r="E61" s="76" t="s">
        <x:v>142</x:v>
      </x:c>
      <x:c r="F61" s="76">
        <x:v>1</x:v>
      </x:c>
      <x:c r="G61" s="71"/>
    </x:row>
    <x:row r="62">
      <x:c r="A62" s="74">
        <x:v>46057</x:v>
      </x:c>
      <x:c r="B62" s="76" t="s">
        <x:v>52</x:v>
      </x:c>
      <x:c r="C62" s="76" t="str">
        <x:f>IFERROR(VLOOKUP(B62,EPP!$B$7:$D$64,2,FALSE),"")</x:f>
        <x:v>GUANTES DE NITRILO TL</x:v>
      </x:c>
      <x:c r="D62" s="76" t="str">
        <x:f>IFERROR(VLOOKUP(B62,EPP!$B$7:$D$64,3,FALSE),"")</x:f>
        <x:v>Par</x:v>
      </x:c>
      <x:c r="E62" s="76" t="s">
        <x:v>145</x:v>
      </x:c>
      <x:c r="F62" s="76">
        <x:v>1</x:v>
      </x:c>
      <x:c r="G62" s="71"/>
    </x:row>
    <x:row r="63">
      <x:c r="A63" s="74">
        <x:v>46059</x:v>
      </x:c>
      <x:c r="B63" s="76" t="s">
        <x:v>31</x:v>
      </x:c>
      <x:c r="C63" s="76" t="str">
        <x:f>IFERROR(VLOOKUP(B63,EPP!$B$7:$D$64,2,FALSE),"")</x:f>
        <x:v>MONOGAFAS</x:v>
      </x:c>
      <x:c r="D63" s="76" t="str">
        <x:f>IFERROR(VLOOKUP(B63,EPP!$B$7:$D$64,3,FALSE),"")</x:f>
        <x:v>Unidad </x:v>
      </x:c>
      <x:c r="E63" s="76" t="s">
        <x:v>157</x:v>
      </x:c>
      <x:c r="F63" s="76">
        <x:v>1</x:v>
      </x:c>
      <x:c r="G63" s="71"/>
    </x:row>
    <x:row r="64" ht="15.75">
      <x:c r="A64" s="74">
        <x:v>46059</x:v>
      </x:c>
      <x:c r="B64" s="75" t="s">
        <x:v>39</x:v>
      </x:c>
      <x:c r="C64" s="76" t="str">
        <x:f>IFERROR(VLOOKUP(B64,EPP!$B$7:$D$64,2,FALSE),"")</x:f>
        <x:v>MASCARA RESPIRADOR MEDIA CARA 3M 6200 TM </x:v>
      </x:c>
      <x:c r="D64" s="76" t="str">
        <x:f>IFERROR(VLOOKUP(B64,EPP!$B$7:$D$64,3,FALSE),"")</x:f>
        <x:v>Par</x:v>
      </x:c>
      <x:c r="E64" s="76" t="s">
        <x:v>157</x:v>
      </x:c>
      <x:c r="F64" s="76">
        <x:v>1</x:v>
      </x:c>
      <x:c r="G64" s="71"/>
    </x:row>
    <x:row r="65" ht="15.75">
      <x:c r="A65" s="74">
        <x:v>46059</x:v>
      </x:c>
      <x:c r="B65" s="75" t="s">
        <x:v>42</x:v>
      </x:c>
      <x:c r="C65" s="76" t="str">
        <x:f>IFERROR(VLOOKUP(B65,EPP!$B$7:$D$64,2,FALSE),"")</x:f>
        <x:v>FILTROS PARA MASCARA 6003</x:v>
      </x:c>
      <x:c r="D65" s="76" t="str">
        <x:f>IFERROR(VLOOKUP(B65,EPP!$B$7:$D$64,3,FALSE),"")</x:f>
        <x:v>Par</x:v>
      </x:c>
      <x:c r="E65" s="76" t="s">
        <x:v>157</x:v>
      </x:c>
      <x:c r="F65" s="76">
        <x:v>1</x:v>
      </x:c>
      <x:c r="G65" s="71"/>
    </x:row>
    <x:row r="66">
      <x:c r="A66" s="74">
        <x:v>46059</x:v>
      </x:c>
      <x:c r="B66" s="76" t="s">
        <x:v>60</x:v>
      </x:c>
      <x:c r="C66" s="76" t="str">
        <x:f>IFERROR(VLOOKUP(B66,EPP!$B$7:$D$64,2,FALSE),"")</x:f>
        <x:v>GUANTE INDUSTRIAL NITRILO CORTO T9</x:v>
      </x:c>
      <x:c r="D66" s="76" t="str">
        <x:f>IFERROR(VLOOKUP(B66,EPP!$B$7:$D$64,3,FALSE),"")</x:f>
        <x:v>Par</x:v>
      </x:c>
      <x:c r="E66" s="76" t="s">
        <x:v>157</x:v>
      </x:c>
      <x:c r="F66" s="76">
        <x:v>1</x:v>
      </x:c>
      <x:c r="G66" s="71"/>
    </x:row>
    <x:row r="67">
      <x:c r="A67" s="74">
        <x:v>46059</x:v>
      </x:c>
      <x:c r="B67" s="76" t="s">
        <x:v>52</x:v>
      </x:c>
      <x:c r="C67" s="76" t="str">
        <x:f>IFERROR(VLOOKUP(B67,EPP!$B$7:$D$64,2,FALSE),"")</x:f>
        <x:v>GUANTES DE NITRILO TL</x:v>
      </x:c>
      <x:c r="D67" s="76" t="str">
        <x:f>IFERROR(VLOOKUP(B67,EPP!$B$7:$D$64,3,FALSE),"")</x:f>
        <x:v>Par</x:v>
      </x:c>
      <x:c r="E67" s="76" t="s">
        <x:v>158</x:v>
      </x:c>
      <x:c r="F67" s="76">
        <x:v>1</x:v>
      </x:c>
      <x:c r="G67" s="71"/>
    </x:row>
    <x:row r="68">
      <x:c r="A68" s="74">
        <x:v>46059</x:v>
      </x:c>
      <x:c r="B68" s="76" t="s">
        <x:v>76</x:v>
      </x:c>
      <x:c r="C68" s="76" t="str">
        <x:f>IFERROR(VLOOKUP(B68,EPP!$B$7:$D$64,2,FALSE),"")</x:f>
        <x:v>GUANTE KIM- NITRILO ARENADO T8</x:v>
      </x:c>
      <x:c r="D68" s="76" t="str">
        <x:f>IFERROR(VLOOKUP(B68,EPP!$B$7:$D$64,3,FALSE),"")</x:f>
        <x:v>Par</x:v>
      </x:c>
      <x:c r="E68" s="76" t="s">
        <x:v>158</x:v>
      </x:c>
      <x:c r="F68" s="76">
        <x:v>1</x:v>
      </x:c>
      <x:c r="G68" s="71"/>
    </x:row>
    <x:row r="69">
      <x:c r="A69" s="74">
        <x:v>46059</x:v>
      </x:c>
      <x:c r="B69" s="76" t="s">
        <x:v>27</x:v>
      </x:c>
      <x:c r="C69" s="76" t="str">
        <x:f>IFERROR(VLOOKUP(B69,EPP!$B$7:$D$64,2,FALSE),"")</x:f>
        <x:v>GAFAS LENTE OSCURO</x:v>
      </x:c>
      <x:c r="D69" s="76" t="str">
        <x:f>IFERROR(VLOOKUP(B69,EPP!$B$7:$D$64,3,FALSE),"")</x:f>
        <x:v>Unidad </x:v>
      </x:c>
      <x:c r="E69" s="76" t="s">
        <x:v>159</x:v>
      </x:c>
      <x:c r="F69" s="76">
        <x:v>1</x:v>
      </x:c>
      <x:c r="G69" s="71"/>
    </x:row>
    <x:row r="70">
      <x:c r="A70" s="74">
        <x:v>46059</x:v>
      </x:c>
      <x:c r="B70" s="76" t="s">
        <x:v>74</x:v>
      </x:c>
      <x:c r="C70" s="76" t="str">
        <x:f>IFERROR(VLOOKUP(B70,EPP!$B$7:$D$64,2,FALSE),"")</x:f>
        <x:v>GUANTE ANTICORTE T9</x:v>
      </x:c>
      <x:c r="D70" s="76" t="str">
        <x:f>IFERROR(VLOOKUP(B70,EPP!$B$7:$D$64,3,FALSE),"")</x:f>
        <x:v>Par</x:v>
      </x:c>
      <x:c r="E70" s="76" t="s">
        <x:v>159</x:v>
      </x:c>
      <x:c r="F70" s="76">
        <x:v>1</x:v>
      </x:c>
      <x:c r="G70" s="71"/>
    </x:row>
    <x:row r="71">
      <x:c r="A71" s="74">
        <x:v>46061</x:v>
      </x:c>
      <x:c r="B71" s="76" t="s">
        <x:v>76</x:v>
      </x:c>
      <x:c r="C71" s="76" t="str">
        <x:f>IFERROR(VLOOKUP(B71,EPP!$B$7:$D$64,2,FALSE),"")</x:f>
        <x:v>GUANTE KIM- NITRILO ARENADO T8</x:v>
      </x:c>
      <x:c r="D71" s="76" t="str">
        <x:f>IFERROR(VLOOKUP(B71,EPP!$B$7:$D$64,3,FALSE),"")</x:f>
        <x:v>Par</x:v>
      </x:c>
      <x:c r="E71" s="76" t="s">
        <x:v>159</x:v>
      </x:c>
      <x:c r="F71" s="76">
        <x:v>1</x:v>
      </x:c>
      <x:c r="G71" s="71"/>
    </x:row>
    <x:row r="72">
      <x:c r="A72" s="74">
        <x:v>46061</x:v>
      </x:c>
      <x:c r="B72" s="76" t="s">
        <x:v>52</x:v>
      </x:c>
      <x:c r="C72" s="76" t="str">
        <x:f>IFERROR(VLOOKUP(B72,EPP!$B$7:$D$64,2,FALSE),"")</x:f>
        <x:v>GUANTES DE NITRILO TL</x:v>
      </x:c>
      <x:c r="D72" s="76" t="str">
        <x:f>IFERROR(VLOOKUP(B72,EPP!$B$7:$D$64,3,FALSE),"")</x:f>
        <x:v>Par</x:v>
      </x:c>
      <x:c r="E72" s="76" t="s">
        <x:v>158</x:v>
      </x:c>
      <x:c r="F72" s="76">
        <x:v>1</x:v>
      </x:c>
      <x:c r="G72" s="71"/>
    </x:row>
    <x:row r="73">
      <x:c r="A73" s="74">
        <x:v>46062</x:v>
      </x:c>
      <x:c r="B73" s="76" t="s">
        <x:v>76</x:v>
      </x:c>
      <x:c r="C73" s="76" t="str">
        <x:f>IFERROR(VLOOKUP(B73,EPP!$B$7:$D$64,2,FALSE),"")</x:f>
        <x:v>GUANTE KIM- NITRILO ARENADO T8</x:v>
      </x:c>
      <x:c r="D73" s="76" t="str">
        <x:f>IFERROR(VLOOKUP(B73,EPP!$B$7:$D$64,3,FALSE),"")</x:f>
        <x:v>Par</x:v>
      </x:c>
      <x:c r="E73" s="76" t="s">
        <x:v>160</x:v>
      </x:c>
      <x:c r="F73" s="76">
        <x:v>1</x:v>
      </x:c>
      <x:c r="G73" s="71"/>
    </x:row>
    <x:row r="74">
      <x:c r="A74" s="74">
        <x:v>46062</x:v>
      </x:c>
      <x:c r="B74" s="76" t="s">
        <x:v>90</x:v>
      </x:c>
      <x:c r="C74" s="76" t="str">
        <x:f>IFERROR(VLOOKUP(B74,EPP!$B$7:$D$64,2,FALSE),"")</x:f>
        <x:v>PROTECTOR AUDITIVO COPA</x:v>
      </x:c>
      <x:c r="D74" s="76" t="str">
        <x:f>IFERROR(VLOOKUP(B74,EPP!$B$7:$D$64,3,FALSE),"")</x:f>
        <x:v>Unidad </x:v>
      </x:c>
      <x:c r="E74" s="76" t="s">
        <x:v>160</x:v>
      </x:c>
      <x:c r="F74" s="76">
        <x:v>1</x:v>
      </x:c>
      <x:c r="G74" s="71"/>
    </x:row>
    <x:row r="75">
      <x:c r="A75" s="74">
        <x:v>46062</x:v>
      </x:c>
      <x:c r="B75" s="76" t="s">
        <x:v>90</x:v>
      </x:c>
      <x:c r="C75" s="76" t="str">
        <x:f>IFERROR(VLOOKUP(B75,EPP!$B$7:$D$64,2,FALSE),"")</x:f>
        <x:v>PROTECTOR AUDITIVO COPA</x:v>
      </x:c>
      <x:c r="D75" s="76" t="str">
        <x:f>IFERROR(VLOOKUP(B75,EPP!$B$7:$D$64,3,FALSE),"")</x:f>
        <x:v>Unidad </x:v>
      </x:c>
      <x:c r="E75" s="76" t="s">
        <x:v>161</x:v>
      </x:c>
      <x:c r="F75" s="76">
        <x:v>5</x:v>
      </x:c>
      <x:c r="G75" s="71"/>
    </x:row>
    <x:row r="76">
      <x:c r="A76" s="74">
        <x:v>46062</x:v>
      </x:c>
      <x:c r="B76" s="76" t="s">
        <x:v>88</x:v>
      </x:c>
      <x:c r="C76" s="76" t="str">
        <x:f>IFERROR(VLOOKUP(B76,EPP!$B$7:$D$64,2,FALSE),"")</x:f>
        <x:v>PROTECTOR AUDITIVO INSERCIÓN</x:v>
      </x:c>
      <x:c r="D76" s="76" t="str">
        <x:f>IFERROR(VLOOKUP(B76,EPP!$B$7:$D$64,3,FALSE),"")</x:f>
        <x:v>Unidad </x:v>
      </x:c>
      <x:c r="E76" s="76" t="s">
        <x:v>162</x:v>
      </x:c>
      <x:c r="F76" s="76">
        <x:v>1</x:v>
      </x:c>
      <x:c r="G76" s="71"/>
    </x:row>
    <x:row r="77">
      <x:c r="A77" s="74">
        <x:v>46062</x:v>
      </x:c>
      <x:c r="B77" s="76" t="s">
        <x:v>78</x:v>
      </x:c>
      <x:c r="C77" s="76" t="str">
        <x:f>IFERROR(VLOOKUP(B77,EPP!$B$7:$D$64,2,FALSE),"")</x:f>
        <x:v>GUANTE KIM- NITRILO ARENADO T9</x:v>
      </x:c>
      <x:c r="D77" s="76" t="str">
        <x:f>IFERROR(VLOOKUP(B77,EPP!$B$7:$D$64,3,FALSE),"")</x:f>
        <x:v>Par</x:v>
      </x:c>
      <x:c r="E77" s="76" t="s">
        <x:v>162</x:v>
      </x:c>
      <x:c r="F77" s="76">
        <x:v>1</x:v>
      </x:c>
      <x:c r="G77" s="71"/>
    </x:row>
    <x:row r="78">
      <x:c r="A78" s="74">
        <x:v>46062</x:v>
      </x:c>
      <x:c r="B78" s="76" t="s">
        <x:v>78</x:v>
      </x:c>
      <x:c r="C78" s="76" t="str">
        <x:f>IFERROR(VLOOKUP(B78,EPP!$B$7:$D$64,2,FALSE),"")</x:f>
        <x:v>GUANTE KIM- NITRILO ARENADO T9</x:v>
      </x:c>
      <x:c r="D78" s="76" t="str">
        <x:f>IFERROR(VLOOKUP(B78,EPP!$B$7:$D$64,3,FALSE),"")</x:f>
        <x:v>Par</x:v>
      </x:c>
      <x:c r="E78" s="76" t="s">
        <x:v>161</x:v>
      </x:c>
      <x:c r="F78" s="76">
        <x:v>1</x:v>
      </x:c>
      <x:c r="G78" s="71"/>
    </x:row>
    <x:row r="79">
      <x:c r="A79" s="74">
        <x:v>46062</x:v>
      </x:c>
      <x:c r="B79" s="76" t="s">
        <x:v>52</x:v>
      </x:c>
      <x:c r="C79" s="76" t="str">
        <x:f>IFERROR(VLOOKUP(B79,EPP!$B$7:$D$64,2,FALSE),"")</x:f>
        <x:v>GUANTES DE NITRILO TL</x:v>
      </x:c>
      <x:c r="D79" s="76" t="str">
        <x:f>IFERROR(VLOOKUP(B79,EPP!$B$7:$D$64,3,FALSE),"")</x:f>
        <x:v>Par</x:v>
      </x:c>
      <x:c r="E79" s="76" t="s">
        <x:v>161</x:v>
      </x:c>
      <x:c r="F79" s="76">
        <x:v>1</x:v>
      </x:c>
      <x:c r="G79" s="71"/>
    </x:row>
    <x:row r="80">
      <x:c r="A80" s="74">
        <x:v>46062</x:v>
      </x:c>
      <x:c r="B80" s="76" t="s">
        <x:v>52</x:v>
      </x:c>
      <x:c r="C80" s="76" t="str">
        <x:f>IFERROR(VLOOKUP(B80,EPP!$B$7:$D$64,2,FALSE),"")</x:f>
        <x:v>GUANTES DE NITRILO TL</x:v>
      </x:c>
      <x:c r="D80" s="76" t="str">
        <x:f>IFERROR(VLOOKUP(B80,EPP!$B$7:$D$64,3,FALSE),"")</x:f>
        <x:v>Par</x:v>
      </x:c>
      <x:c r="E80" s="76" t="s">
        <x:v>160</x:v>
      </x:c>
      <x:c r="F80" s="76">
        <x:v>1</x:v>
      </x:c>
      <x:c r="G80" s="71"/>
    </x:row>
    <x:row r="81">
      <x:c r="A81" s="74">
        <x:v>46062</x:v>
      </x:c>
      <x:c r="B81" s="76" t="s">
        <x:v>23</x:v>
      </x:c>
      <x:c r="C81" s="76" t="str">
        <x:f>IFERROR(VLOOKUP(B81,EPP!$B$7:$D$64,2,FALSE),"")</x:f>
        <x:v>CASCO ZAFARY</x:v>
      </x:c>
      <x:c r="D81" s="76" t="str">
        <x:f>IFERROR(VLOOKUP(B81,EPP!$B$7:$D$64,3,FALSE),"")</x:f>
        <x:v>Unidad </x:v>
      </x:c>
      <x:c r="E81" s="76" t="s">
        <x:v>162</x:v>
      </x:c>
      <x:c r="F81" s="76">
        <x:v>1</x:v>
      </x:c>
      <x:c r="G81" s="71"/>
    </x:row>
    <x:row r="82">
      <x:c r="A82" s="74">
        <x:v>46062</x:v>
      </x:c>
      <x:c r="B82" s="76" t="s">
        <x:v>21</x:v>
      </x:c>
      <x:c r="C82" s="76" t="str">
        <x:f>IFERROR(VLOOKUP(B82,EPP!$B$7:$D$64,2,FALSE),"")</x:f>
        <x:v>SOMBRERO TIPO SAFARY</x:v>
      </x:c>
      <x:c r="D82" s="76" t="str">
        <x:f>IFERROR(VLOOKUP(B82,EPP!$B$7:$D$64,3,FALSE),"")</x:f>
        <x:v>Unidad </x:v>
      </x:c>
      <x:c r="E82" s="76" t="s">
        <x:v>162</x:v>
      </x:c>
      <x:c r="F82" s="76">
        <x:v>1</x:v>
      </x:c>
      <x:c r="G82" s="71"/>
    </x:row>
    <x:row r="83">
      <x:c r="A83" s="74">
        <x:v>46062</x:v>
      </x:c>
      <x:c r="B83" s="76" t="s">
        <x:v>23</x:v>
      </x:c>
      <x:c r="C83" s="76" t="str">
        <x:f>IFERROR(VLOOKUP(B83,EPP!$B$7:$D$64,2,FALSE),"")</x:f>
        <x:v>CASCO ZAFARY</x:v>
      </x:c>
      <x:c r="D83" s="76" t="str">
        <x:f>IFERROR(VLOOKUP(B83,EPP!$B$7:$D$64,3,FALSE),"")</x:f>
        <x:v>Unidad </x:v>
      </x:c>
      <x:c r="E83" s="76" t="s">
        <x:v>161</x:v>
      </x:c>
      <x:c r="F83" s="76">
        <x:v>1</x:v>
      </x:c>
      <x:c r="G83" s="71"/>
    </x:row>
    <x:row r="84">
      <x:c r="A84" s="74">
        <x:v>46062</x:v>
      </x:c>
      <x:c r="B84" s="76" t="s">
        <x:v>21</x:v>
      </x:c>
      <x:c r="C84" s="76" t="str">
        <x:f>IFERROR(VLOOKUP(B84,EPP!$B$7:$D$64,2,FALSE),"")</x:f>
        <x:v>SOMBRERO TIPO SAFARY</x:v>
      </x:c>
      <x:c r="D84" s="76" t="str">
        <x:f>IFERROR(VLOOKUP(B84,EPP!$B$7:$D$64,3,FALSE),"")</x:f>
        <x:v>Unidad </x:v>
      </x:c>
      <x:c r="E84" s="76" t="s">
        <x:v>161</x:v>
      </x:c>
      <x:c r="F84" s="76">
        <x:v>1</x:v>
      </x:c>
      <x:c r="G84" s="71"/>
    </x:row>
    <x:row r="85">
      <x:c r="A85" s="74">
        <x:v>46062</x:v>
      </x:c>
      <x:c r="B85" s="76" t="s">
        <x:v>29</x:v>
      </x:c>
      <x:c r="C85" s="76" t="str">
        <x:f>IFERROR(VLOOKUP(B85,EPP!$B$7:$D$64,2,FALSE),"")</x:f>
        <x:v>GAFAS LENTE CLARO</x:v>
      </x:c>
      <x:c r="D85" s="76" t="str">
        <x:f>IFERROR(VLOOKUP(B85,EPP!$B$7:$D$64,3,FALSE),"")</x:f>
        <x:v>Unidad </x:v>
      </x:c>
      <x:c r="E85" s="76" t="s">
        <x:v>162</x:v>
      </x:c>
      <x:c r="F85" s="76">
        <x:v>1</x:v>
      </x:c>
      <x:c r="G85" s="71"/>
    </x:row>
    <x:row r="86">
      <x:c r="A86" s="74">
        <x:v>46062</x:v>
      </x:c>
      <x:c r="B86" s="76" t="s">
        <x:v>27</x:v>
      </x:c>
      <x:c r="C86" s="76" t="str">
        <x:f>IFERROR(VLOOKUP(B86,EPP!$B$7:$D$64,2,FALSE),"")</x:f>
        <x:v>GAFAS LENTE OSCURO</x:v>
      </x:c>
      <x:c r="D86" s="76" t="str">
        <x:f>IFERROR(VLOOKUP(B86,EPP!$B$7:$D$64,3,FALSE),"")</x:f>
        <x:v>Unidad </x:v>
      </x:c>
      <x:c r="E86" s="76" t="s">
        <x:v>162</x:v>
      </x:c>
      <x:c r="F86" s="76">
        <x:v>1</x:v>
      </x:c>
      <x:c r="G86" s="71"/>
    </x:row>
    <x:row r="87">
      <x:c r="A87" s="74">
        <x:v>46062</x:v>
      </x:c>
      <x:c r="B87" s="76" t="s">
        <x:v>29</x:v>
      </x:c>
      <x:c r="C87" s="76" t="str">
        <x:f>IFERROR(VLOOKUP(B87,EPP!$B$7:$D$64,2,FALSE),"")</x:f>
        <x:v>GAFAS LENTE CLARO</x:v>
      </x:c>
      <x:c r="D87" s="76" t="str">
        <x:f>IFERROR(VLOOKUP(B87,EPP!$B$7:$D$64,3,FALSE),"")</x:f>
        <x:v>Unidad </x:v>
      </x:c>
      <x:c r="E87" s="76" t="s">
        <x:v>161</x:v>
      </x:c>
      <x:c r="F87" s="76">
        <x:v>1</x:v>
      </x:c>
      <x:c r="G87" s="71"/>
    </x:row>
    <x:row r="88">
      <x:c r="A88" s="74">
        <x:v>46062</x:v>
      </x:c>
      <x:c r="B88" s="76" t="s">
        <x:v>27</x:v>
      </x:c>
      <x:c r="C88" s="76" t="str">
        <x:f>IFERROR(VLOOKUP(B88,EPP!$B$7:$D$64,2,FALSE),"")</x:f>
        <x:v>GAFAS LENTE OSCURO</x:v>
      </x:c>
      <x:c r="D88" s="76" t="str">
        <x:f>IFERROR(VLOOKUP(B88,EPP!$B$7:$D$64,3,FALSE),"")</x:f>
        <x:v>Unidad </x:v>
      </x:c>
      <x:c r="E88" s="76" t="s">
        <x:v>161</x:v>
      </x:c>
      <x:c r="F88" s="76">
        <x:v>1</x:v>
      </x:c>
      <x:c r="G88" s="71"/>
    </x:row>
    <x:row r="89">
      <x:c r="A89" s="74">
        <x:v>46062</x:v>
      </x:c>
      <x:c r="B89" s="76" t="s">
        <x:v>35</x:v>
      </x:c>
      <x:c r="C89" s="76" t="str">
        <x:f>IFERROR(VLOOKUP(B89,EPP!$B$7:$D$64,2,FALSE),"")</x:f>
        <x:v>VISOR EN POLICARBONATO SIN RIBETE</x:v>
      </x:c>
      <x:c r="D89" s="76" t="str">
        <x:f>IFERROR(VLOOKUP(B89,EPP!$B$7:$D$64,3,FALSE),"")</x:f>
        <x:v>Unidad </x:v>
      </x:c>
      <x:c r="E89" s="76" t="s">
        <x:v>163</x:v>
      </x:c>
      <x:c r="F89" s="76">
        <x:v>2</x:v>
      </x:c>
      <x:c r="G89" s="71"/>
    </x:row>
    <x:row r="90">
      <x:c r="A90" s="74">
        <x:v>46063</x:v>
      </x:c>
      <x:c r="B90" s="76" t="s">
        <x:v>78</x:v>
      </x:c>
      <x:c r="C90" s="76" t="str">
        <x:f>IFERROR(VLOOKUP(B90,EPP!$B$7:$D$64,2,FALSE),"")</x:f>
        <x:v>GUANTE KIM- NITRILO ARENADO T9</x:v>
      </x:c>
      <x:c r="D90" s="76" t="str">
        <x:f>IFERROR(VLOOKUP(B90,EPP!$B$7:$D$64,3,FALSE),"")</x:f>
        <x:v>Par</x:v>
      </x:c>
      <x:c r="E90" s="76" t="s">
        <x:v>141</x:v>
      </x:c>
      <x:c r="F90" s="76">
        <x:v>1</x:v>
      </x:c>
      <x:c r="G90" s="71"/>
    </x:row>
    <x:row r="91">
      <x:c r="A91" s="74">
        <x:v>46063</x:v>
      </x:c>
      <x:c r="B91" s="76" t="s">
        <x:v>52</x:v>
      </x:c>
      <x:c r="C91" s="76" t="str">
        <x:f>IFERROR(VLOOKUP(B91,EPP!$B$7:$D$64,2,FALSE),"")</x:f>
        <x:v>GUANTES DE NITRILO TL</x:v>
      </x:c>
      <x:c r="D91" s="76" t="str">
        <x:f>IFERROR(VLOOKUP(B91,EPP!$B$7:$D$64,3,FALSE),"")</x:f>
        <x:v>Par</x:v>
      </x:c>
      <x:c r="E91" s="76" t="s">
        <x:v>141</x:v>
      </x:c>
      <x:c r="F91" s="76">
        <x:v>1</x:v>
      </x:c>
      <x:c r="G91" s="71"/>
    </x:row>
    <x:row r="92">
      <x:c r="A92" s="74">
        <x:v>46063</x:v>
      </x:c>
      <x:c r="B92" s="76" t="s">
        <x:v>52</x:v>
      </x:c>
      <x:c r="C92" s="76" t="str">
        <x:f>IFERROR(VLOOKUP(B92,EPP!$B$7:$D$64,2,FALSE),"")</x:f>
        <x:v>GUANTES DE NITRILO TL</x:v>
      </x:c>
      <x:c r="D92" s="76" t="str">
        <x:f>IFERROR(VLOOKUP(B92,EPP!$B$7:$D$64,3,FALSE),"")</x:f>
        <x:v>Par</x:v>
      </x:c>
      <x:c r="E92" s="76" t="s">
        <x:v>161</x:v>
      </x:c>
      <x:c r="F92" s="76">
        <x:v>1</x:v>
      </x:c>
      <x:c r="G92" s="71"/>
    </x:row>
    <x:row r="93">
      <x:c r="A93" s="74">
        <x:v>46063</x:v>
      </x:c>
      <x:c r="B93" s="76" t="s">
        <x:v>52</x:v>
      </x:c>
      <x:c r="C93" s="76" t="str">
        <x:f>IFERROR(VLOOKUP(B93,EPP!$B$7:$D$64,2,FALSE),"")</x:f>
        <x:v>GUANTES DE NITRILO TL</x:v>
      </x:c>
      <x:c r="D93" s="76" t="str">
        <x:f>IFERROR(VLOOKUP(B93,EPP!$B$7:$D$64,3,FALSE),"")</x:f>
        <x:v>Par</x:v>
      </x:c>
      <x:c r="E93" s="76" t="s">
        <x:v>162</x:v>
      </x:c>
      <x:c r="F93" s="76">
        <x:v>1</x:v>
      </x:c>
      <x:c r="G93" s="71"/>
    </x:row>
    <x:row r="94">
      <x:c r="A94" s="74">
        <x:v>46063</x:v>
      </x:c>
      <x:c r="B94" s="76" t="s">
        <x:v>76</x:v>
      </x:c>
      <x:c r="C94" s="76" t="str">
        <x:f>IFERROR(VLOOKUP(B94,EPP!$B$7:$D$64,2,FALSE),"")</x:f>
        <x:v>GUANTE KIM- NITRILO ARENADO T8</x:v>
      </x:c>
      <x:c r="D94" s="76" t="str">
        <x:f>IFERROR(VLOOKUP(B94,EPP!$B$7:$D$64,3,FALSE),"")</x:f>
        <x:v>Par</x:v>
      </x:c>
      <x:c r="E94" s="76" t="s">
        <x:v>161</x:v>
      </x:c>
      <x:c r="F94" s="76">
        <x:v>1</x:v>
      </x:c>
      <x:c r="G94" s="71"/>
    </x:row>
    <x:row r="95">
      <x:c r="A95" s="74">
        <x:v>46064</x:v>
      </x:c>
      <x:c r="B95" s="76" t="s">
        <x:v>78</x:v>
      </x:c>
      <x:c r="C95" s="76" t="str">
        <x:f>IFERROR(VLOOKUP(B95,EPP!$B$7:$D$64,2,FALSE),"")</x:f>
        <x:v>GUANTE KIM- NITRILO ARENADO T9</x:v>
      </x:c>
      <x:c r="D95" s="76" t="str">
        <x:f>IFERROR(VLOOKUP(B95,EPP!$B$7:$D$64,3,FALSE),"")</x:f>
        <x:v>Par</x:v>
      </x:c>
      <x:c r="E95" s="76" t="s">
        <x:v>145</x:v>
      </x:c>
      <x:c r="F95" s="76">
        <x:v>1</x:v>
      </x:c>
      <x:c r="G95" s="71"/>
    </x:row>
    <x:row r="96">
      <x:c r="A96" s="74">
        <x:v>46064</x:v>
      </x:c>
      <x:c r="B96" s="76" t="s">
        <x:v>50</x:v>
      </x:c>
      <x:c r="C96" s="76" t="str">
        <x:f>IFERROR(VLOOKUP(B96,EPP!$B$7:$D$64,2,FALSE),"")</x:f>
        <x:v>TAPABOCAS INDUSTRIAL NEGRO</x:v>
      </x:c>
      <x:c r="D96" s="76" t="str">
        <x:f>IFERROR(VLOOKUP(B96,EPP!$B$7:$D$64,3,FALSE),"")</x:f>
        <x:v>Unidad </x:v>
      </x:c>
      <x:c r="E96" s="76" t="s">
        <x:v>145</x:v>
      </x:c>
      <x:c r="F96" s="76">
        <x:v>1</x:v>
      </x:c>
      <x:c r="G96" s="71"/>
    </x:row>
    <x:row r="97">
      <x:c r="A97" s="74">
        <x:v>46064</x:v>
      </x:c>
      <x:c r="B97" s="76" t="s">
        <x:v>52</x:v>
      </x:c>
      <x:c r="C97" s="76" t="str">
        <x:f>IFERROR(VLOOKUP(B97,EPP!$B$7:$D$64,2,FALSE),"")</x:f>
        <x:v>GUANTES DE NITRILO TL</x:v>
      </x:c>
      <x:c r="D97" s="76" t="str">
        <x:f>IFERROR(VLOOKUP(B97,EPP!$B$7:$D$64,3,FALSE),"")</x:f>
        <x:v>Par</x:v>
      </x:c>
      <x:c r="E97" s="76" t="s">
        <x:v>145</x:v>
      </x:c>
      <x:c r="F97" s="76">
        <x:v>1</x:v>
      </x:c>
      <x:c r="G97" s="71"/>
    </x:row>
    <x:row r="98">
      <x:c r="A98" s="74">
        <x:v>46064</x:v>
      </x:c>
      <x:c r="B98" s="76" t="s">
        <x:v>78</x:v>
      </x:c>
      <x:c r="C98" s="76" t="str">
        <x:f>IFERROR(VLOOKUP(B98,EPP!$B$7:$D$64,2,FALSE),"")</x:f>
        <x:v>GUANTE KIM- NITRILO ARENADO T9</x:v>
      </x:c>
      <x:c r="D98" s="76" t="str">
        <x:f>IFERROR(VLOOKUP(B98,EPP!$B$7:$D$64,3,FALSE),"")</x:f>
        <x:v>Par</x:v>
      </x:c>
      <x:c r="E98" s="76" t="s">
        <x:v>153</x:v>
      </x:c>
      <x:c r="F98" s="76">
        <x:v>1</x:v>
      </x:c>
      <x:c r="G98" s="71"/>
    </x:row>
    <x:row r="99">
      <x:c r="A99" s="74">
        <x:v>46064</x:v>
      </x:c>
      <x:c r="B99" s="76" t="s">
        <x:v>50</x:v>
      </x:c>
      <x:c r="C99" s="76" t="str">
        <x:f>IFERROR(VLOOKUP(B99,EPP!$B$7:$D$64,2,FALSE),"")</x:f>
        <x:v>TAPABOCAS INDUSTRIAL NEGRO</x:v>
      </x:c>
      <x:c r="D99" s="76" t="str">
        <x:f>IFERROR(VLOOKUP(B99,EPP!$B$7:$D$64,3,FALSE),"")</x:f>
        <x:v>Unidad </x:v>
      </x:c>
      <x:c r="E99" s="76" t="s">
        <x:v>153</x:v>
      </x:c>
      <x:c r="F99" s="76">
        <x:v>1</x:v>
      </x:c>
      <x:c r="G99" s="71"/>
    </x:row>
    <x:row r="100">
      <x:c r="A100" s="74">
        <x:v>46064</x:v>
      </x:c>
      <x:c r="B100" s="76" t="s">
        <x:v>52</x:v>
      </x:c>
      <x:c r="C100" s="76" t="str">
        <x:f>IFERROR(VLOOKUP(B100,EPP!$B$7:$D$64,2,FALSE),"")</x:f>
        <x:v>GUANTES DE NITRILO TL</x:v>
      </x:c>
      <x:c r="D100" s="76" t="str">
        <x:f>IFERROR(VLOOKUP(B100,EPP!$B$7:$D$64,3,FALSE),"")</x:f>
        <x:v>Par</x:v>
      </x:c>
      <x:c r="E100" s="76" t="s">
        <x:v>153</x:v>
      </x:c>
      <x:c r="F100" s="76">
        <x:v>2</x:v>
      </x:c>
      <x:c r="G100" s="71"/>
    </x:row>
    <x:row r="101">
      <x:c r="A101" s="74">
        <x:v>46065</x:v>
      </x:c>
      <x:c r="B101" s="76" t="s">
        <x:v>52</x:v>
      </x:c>
      <x:c r="C101" s="76" t="str">
        <x:f>IFERROR(VLOOKUP(B101,EPP!$B$7:$D$64,2,FALSE),"")</x:f>
        <x:v>GUANTES DE NITRILO TL</x:v>
      </x:c>
      <x:c r="D101" s="76" t="str">
        <x:f>IFERROR(VLOOKUP(B101,EPP!$B$7:$D$64,3,FALSE),"")</x:f>
        <x:v>Par</x:v>
      </x:c>
      <x:c r="E101" s="76" t="s">
        <x:v>161</x:v>
      </x:c>
      <x:c r="F101" s="76">
        <x:v>1</x:v>
      </x:c>
      <x:c r="G101" s="71"/>
    </x:row>
    <x:row r="102">
      <x:c r="A102" s="74">
        <x:v>46065</x:v>
      </x:c>
      <x:c r="B102" s="76" t="s">
        <x:v>50</x:v>
      </x:c>
      <x:c r="C102" s="76" t="str">
        <x:f>IFERROR(VLOOKUP(B102,EPP!$B$7:$D$64,2,FALSE),"")</x:f>
        <x:v>TAPABOCAS INDUSTRIAL NEGRO</x:v>
      </x:c>
      <x:c r="D102" s="76" t="str">
        <x:f>IFERROR(VLOOKUP(B102,EPP!$B$7:$D$64,3,FALSE),"")</x:f>
        <x:v>Unidad </x:v>
      </x:c>
      <x:c r="E102" s="76" t="s">
        <x:v>142</x:v>
      </x:c>
      <x:c r="F102" s="76">
        <x:v>1</x:v>
      </x:c>
      <x:c r="G102" s="71"/>
    </x:row>
    <x:row r="103">
      <x:c r="A103" s="74">
        <x:v>46066</x:v>
      </x:c>
      <x:c r="B103" s="76" t="s">
        <x:v>78</x:v>
      </x:c>
      <x:c r="C103" s="76" t="str">
        <x:f>IFERROR(VLOOKUP(B103,EPP!$B$7:$D$64,2,FALSE),"")</x:f>
        <x:v>GUANTE KIM- NITRILO ARENADO T9</x:v>
      </x:c>
      <x:c r="D103" s="76" t="str">
        <x:f>IFERROR(VLOOKUP(B103,EPP!$B$7:$D$64,3,FALSE),"")</x:f>
        <x:v>Par</x:v>
      </x:c>
      <x:c r="E103" s="76" t="s">
        <x:v>151</x:v>
      </x:c>
      <x:c r="F103" s="76">
        <x:v>1</x:v>
      </x:c>
      <x:c r="G103" s="71"/>
    </x:row>
    <x:row r="104">
      <x:c r="A104" s="74">
        <x:v>46066</x:v>
      </x:c>
      <x:c r="B104" s="76" t="s">
        <x:v>116</x:v>
      </x:c>
      <x:c r="C104" s="76" t="str">
        <x:f>IFERROR(VLOOKUP(B104,EPP!$B$7:$D$64,2,FALSE),"")</x:f>
        <x:v>OVEROL DESCARTABLE TL</x:v>
      </x:c>
      <x:c r="D104" s="76" t="str">
        <x:f>IFERROR(VLOOKUP(B104,EPP!$B$7:$D$64,3,FALSE),"")</x:f>
        <x:v>Unidad </x:v>
      </x:c>
      <x:c r="E104" s="76" t="s">
        <x:v>161</x:v>
      </x:c>
      <x:c r="F104" s="76">
        <x:v>1</x:v>
      </x:c>
      <x:c r="G104" s="71"/>
    </x:row>
    <x:row r="105">
      <x:c r="A105" s="74">
        <x:v>46066</x:v>
      </x:c>
      <x:c r="B105" s="76" t="s">
        <x:v>52</x:v>
      </x:c>
      <x:c r="C105" s="76" t="str">
        <x:f>IFERROR(VLOOKUP(B105,EPP!$B$7:$D$64,2,FALSE),"")</x:f>
        <x:v>GUANTES DE NITRILO TL</x:v>
      </x:c>
      <x:c r="D105" s="76" t="str">
        <x:f>IFERROR(VLOOKUP(B105,EPP!$B$7:$D$64,3,FALSE),"")</x:f>
        <x:v>Par</x:v>
      </x:c>
      <x:c r="E105" s="76" t="s">
        <x:v>161</x:v>
      </x:c>
      <x:c r="F105" s="76">
        <x:v>2</x:v>
      </x:c>
      <x:c r="G105" s="71"/>
    </x:row>
    <x:row r="106">
      <x:c r="A106" s="74">
        <x:v>46066</x:v>
      </x:c>
      <x:c r="B106" s="76" t="s">
        <x:v>110</x:v>
      </x:c>
      <x:c r="C106" s="76" t="str">
        <x:f>IFERROR(VLOOKUP(B106,EPP!$B$7:$D$64,2,FALSE),"")</x:f>
        <x:v>OVEROL ANTIFUIDO INDUSTRIAL TXL</x:v>
      </x:c>
      <x:c r="D106" s="76" t="str">
        <x:f>IFERROR(VLOOKUP(B106,EPP!$B$7:$D$64,3,FALSE),"")</x:f>
        <x:v>Unidad </x:v>
      </x:c>
      <x:c r="E106" s="76" t="s">
        <x:v>143</x:v>
      </x:c>
      <x:c r="F106" s="76">
        <x:v>1</x:v>
      </x:c>
      <x:c r="G106" s="71"/>
    </x:row>
    <x:row r="107">
      <x:c r="A107" s="74">
        <x:v>46066</x:v>
      </x:c>
      <x:c r="B107" s="76" t="s">
        <x:v>50</x:v>
      </x:c>
      <x:c r="C107" s="76" t="str">
        <x:f>IFERROR(VLOOKUP(B107,EPP!$B$7:$D$64,2,FALSE),"")</x:f>
        <x:v>TAPABOCAS INDUSTRIAL NEGRO</x:v>
      </x:c>
      <x:c r="D107" s="76" t="str">
        <x:f>IFERROR(VLOOKUP(B107,EPP!$B$7:$D$64,3,FALSE),"")</x:f>
        <x:v>Unidad </x:v>
      </x:c>
      <x:c r="E107" s="76" t="s">
        <x:v>143</x:v>
      </x:c>
      <x:c r="F107" s="76">
        <x:v>1</x:v>
      </x:c>
      <x:c r="G107" s="71"/>
    </x:row>
    <x:row r="108">
      <x:c r="A108" s="74">
        <x:v>46066</x:v>
      </x:c>
      <x:c r="B108" s="76" t="s">
        <x:v>50</x:v>
      </x:c>
      <x:c r="C108" s="76" t="str">
        <x:f>IFERROR(VLOOKUP(B108,EPP!$B$7:$D$64,2,FALSE),"")</x:f>
        <x:v>TAPABOCAS INDUSTRIAL NEGRO</x:v>
      </x:c>
      <x:c r="D108" s="76" t="str">
        <x:f>IFERROR(VLOOKUP(B108,EPP!$B$7:$D$64,3,FALSE),"")</x:f>
        <x:v>Unidad </x:v>
      </x:c>
      <x:c r="E108" s="76" t="s">
        <x:v>148</x:v>
      </x:c>
      <x:c r="F108" s="76">
        <x:v>1</x:v>
      </x:c>
      <x:c r="G108" s="71"/>
    </x:row>
    <x:row r="109">
      <x:c r="A109" s="74">
        <x:v>46066</x:v>
      </x:c>
      <x:c r="B109" s="76" t="s">
        <x:v>78</x:v>
      </x:c>
      <x:c r="C109" s="76" t="str">
        <x:f>IFERROR(VLOOKUP(B109,EPP!$B$7:$D$64,2,FALSE),"")</x:f>
        <x:v>GUANTE KIM- NITRILO ARENADO T9</x:v>
      </x:c>
      <x:c r="D109" s="76" t="str">
        <x:f>IFERROR(VLOOKUP(B109,EPP!$B$7:$D$64,3,FALSE),"")</x:f>
        <x:v>Par</x:v>
      </x:c>
      <x:c r="E109" s="76" t="s">
        <x:v>148</x:v>
      </x:c>
      <x:c r="F109" s="76">
        <x:v>1</x:v>
      </x:c>
      <x:c r="G109" s="71"/>
    </x:row>
    <x:row r="110">
      <x:c r="A110" s="74">
        <x:v>46066</x:v>
      </x:c>
      <x:c r="B110" s="76" t="s">
        <x:v>27</x:v>
      </x:c>
      <x:c r="C110" s="76" t="str">
        <x:f>IFERROR(VLOOKUP(B110,EPP!$B$7:$D$64,2,FALSE),"")</x:f>
        <x:v>GAFAS LENTE OSCURO</x:v>
      </x:c>
      <x:c r="D110" s="76" t="str">
        <x:f>IFERROR(VLOOKUP(B110,EPP!$B$7:$D$64,3,FALSE),"")</x:f>
        <x:v>Unidad </x:v>
      </x:c>
      <x:c r="E110" s="76" t="s">
        <x:v>148</x:v>
      </x:c>
      <x:c r="F110" s="76">
        <x:v>1</x:v>
      </x:c>
      <x:c r="G110" s="71"/>
    </x:row>
    <x:row r="111">
      <x:c r="A111" s="74">
        <x:v>46066</x:v>
      </x:c>
      <x:c r="B111" s="76" t="s">
        <x:v>116</x:v>
      </x:c>
      <x:c r="C111" s="76" t="str">
        <x:f>IFERROR(VLOOKUP(B111,EPP!$B$7:$D$64,2,FALSE),"")</x:f>
        <x:v>OVEROL DESCARTABLE TL</x:v>
      </x:c>
      <x:c r="D111" s="76" t="str">
        <x:f>IFERROR(VLOOKUP(B111,EPP!$B$7:$D$64,3,FALSE),"")</x:f>
        <x:v>Unidad </x:v>
      </x:c>
      <x:c r="E111" s="76" t="s">
        <x:v>148</x:v>
      </x:c>
      <x:c r="F111" s="76">
        <x:v>1</x:v>
      </x:c>
      <x:c r="G111" s="71"/>
    </x:row>
    <x:row r="112">
      <x:c r="A112" s="74">
        <x:v>46066</x:v>
      </x:c>
      <x:c r="B112" s="76" t="s">
        <x:v>114</x:v>
      </x:c>
      <x:c r="C112" s="76" t="str">
        <x:f>IFERROR(VLOOKUP(B112,EPP!$B$7:$D$64,2,FALSE),"")</x:f>
        <x:v>OVEROL DESCARTABLE TM</x:v>
      </x:c>
      <x:c r="D112" s="76" t="str">
        <x:f>IFERROR(VLOOKUP(B112,EPP!$B$7:$D$64,3,FALSE),"")</x:f>
        <x:v>Unidad </x:v>
      </x:c>
      <x:c r="E112" s="76" t="s">
        <x:v>164</x:v>
      </x:c>
      <x:c r="F112" s="76">
        <x:v>1</x:v>
      </x:c>
      <x:c r="G112" s="71"/>
    </x:row>
    <x:row r="113">
      <x:c r="A113" s="74">
        <x:v>46066</x:v>
      </x:c>
      <x:c r="B113" s="76" t="s">
        <x:v>50</x:v>
      </x:c>
      <x:c r="C113" s="76" t="str">
        <x:f>IFERROR(VLOOKUP(B113,EPP!$B$7:$D$64,2,FALSE),"")</x:f>
        <x:v>TAPABOCAS INDUSTRIAL NEGRO</x:v>
      </x:c>
      <x:c r="D113" s="76" t="str">
        <x:f>IFERROR(VLOOKUP(B113,EPP!$B$7:$D$64,3,FALSE),"")</x:f>
        <x:v>Unidad </x:v>
      </x:c>
      <x:c r="E113" s="76" t="s">
        <x:v>164</x:v>
      </x:c>
      <x:c r="F113" s="76">
        <x:v>1</x:v>
      </x:c>
      <x:c r="G113" s="71"/>
    </x:row>
    <x:row r="114">
      <x:c r="A114" s="74">
        <x:v>46066</x:v>
      </x:c>
      <x:c r="B114" s="76" t="s">
        <x:v>78</x:v>
      </x:c>
      <x:c r="C114" s="76" t="str">
        <x:f>IFERROR(VLOOKUP(B114,EPP!$B$7:$D$64,2,FALSE),"")</x:f>
        <x:v>GUANTE KIM- NITRILO ARENADO T9</x:v>
      </x:c>
      <x:c r="D114" s="76" t="str">
        <x:f>IFERROR(VLOOKUP(B114,EPP!$B$7:$D$64,3,FALSE),"")</x:f>
        <x:v>Par</x:v>
      </x:c>
      <x:c r="E114" s="76" t="s">
        <x:v>164</x:v>
      </x:c>
      <x:c r="F114" s="76">
        <x:v>1</x:v>
      </x:c>
      <x:c r="G114" s="71"/>
    </x:row>
    <x:row r="115">
      <x:c r="A115" s="74">
        <x:v>46066</x:v>
      </x:c>
      <x:c r="B115" s="76" t="s">
        <x:v>27</x:v>
      </x:c>
      <x:c r="C115" s="76" t="str">
        <x:f>IFERROR(VLOOKUP(B115,EPP!$B$7:$D$64,2,FALSE),"")</x:f>
        <x:v>GAFAS LENTE OSCURO</x:v>
      </x:c>
      <x:c r="D115" s="76" t="str">
        <x:f>IFERROR(VLOOKUP(B115,EPP!$B$7:$D$64,3,FALSE),"")</x:f>
        <x:v>Unidad </x:v>
      </x:c>
      <x:c r="E115" s="76" t="s">
        <x:v>164</x:v>
      </x:c>
      <x:c r="F115" s="76">
        <x:v>1</x:v>
      </x:c>
      <x:c r="G115" s="71"/>
    </x:row>
    <x:row r="116">
      <x:c r="A116" s="74">
        <x:v>46066</x:v>
      </x:c>
      <x:c r="B116" s="76" t="s">
        <x:v>21</x:v>
      </x:c>
      <x:c r="C116" s="76" t="str">
        <x:f>IFERROR(VLOOKUP(B116,EPP!$B$7:$D$64,2,FALSE),"")</x:f>
        <x:v>SOMBRERO TIPO SAFARY</x:v>
      </x:c>
      <x:c r="D116" s="76" t="str">
        <x:f>IFERROR(VLOOKUP(B116,EPP!$B$7:$D$64,3,FALSE),"")</x:f>
        <x:v>Unidad </x:v>
      </x:c>
      <x:c r="E116" s="76" t="s">
        <x:v>164</x:v>
      </x:c>
      <x:c r="F116" s="76">
        <x:v>1</x:v>
      </x:c>
      <x:c r="G116" s="71"/>
    </x:row>
    <x:row r="117">
      <x:c r="A117" s="74">
        <x:v>46066</x:v>
      </x:c>
      <x:c r="B117" s="76" t="s">
        <x:v>78</x:v>
      </x:c>
      <x:c r="C117" s="76" t="str">
        <x:f>IFERROR(VLOOKUP(B117,EPP!$B$7:$D$64,2,FALSE),"")</x:f>
        <x:v>GUANTE KIM- NITRILO ARENADO T9</x:v>
      </x:c>
      <x:c r="D117" s="76" t="str">
        <x:f>IFERROR(VLOOKUP(B117,EPP!$B$7:$D$64,3,FALSE),"")</x:f>
        <x:v>Par</x:v>
      </x:c>
      <x:c r="E117" s="76" t="s">
        <x:v>165</x:v>
      </x:c>
      <x:c r="F117" s="76">
        <x:v>1</x:v>
      </x:c>
      <x:c r="G117" s="71"/>
    </x:row>
    <x:row r="118">
      <x:c r="A118" s="74">
        <x:v>46066</x:v>
      </x:c>
      <x:c r="B118" s="76" t="s">
        <x:v>21</x:v>
      </x:c>
      <x:c r="C118" s="76" t="str">
        <x:f>IFERROR(VLOOKUP(B118,EPP!$B$7:$D$64,2,FALSE),"")</x:f>
        <x:v>SOMBRERO TIPO SAFARY</x:v>
      </x:c>
      <x:c r="D118" s="76" t="str">
        <x:f>IFERROR(VLOOKUP(B118,EPP!$B$7:$D$64,3,FALSE),"")</x:f>
        <x:v>Unidad </x:v>
      </x:c>
      <x:c r="E118" s="76" t="s">
        <x:v>165</x:v>
      </x:c>
      <x:c r="F118" s="76">
        <x:v>1</x:v>
      </x:c>
      <x:c r="G118" s="71"/>
    </x:row>
    <x:row r="119">
      <x:c r="A119" s="74">
        <x:v>46068</x:v>
      </x:c>
      <x:c r="B119" s="76" t="s">
        <x:v>52</x:v>
      </x:c>
      <x:c r="C119" s="76" t="str">
        <x:f>IFERROR(VLOOKUP(B119,EPP!$B$7:$D$64,2,FALSE),"")</x:f>
        <x:v>GUANTES DE NITRILO TL</x:v>
      </x:c>
      <x:c r="D119" s="76" t="str">
        <x:f>IFERROR(VLOOKUP(B119,EPP!$B$7:$D$64,3,FALSE),"")</x:f>
        <x:v>Par</x:v>
      </x:c>
      <x:c r="E119" s="76" t="s">
        <x:v>161</x:v>
      </x:c>
      <x:c r="F119" s="76">
        <x:v>2</x:v>
      </x:c>
      <x:c r="G119" s="71"/>
    </x:row>
    <x:row r="120">
      <x:c r="A120" s="74">
        <x:v>46069</x:v>
      </x:c>
      <x:c r="B120" s="76" t="s">
        <x:v>112</x:v>
      </x:c>
      <x:c r="C120" s="76" t="str">
        <x:f>IFERROR(VLOOKUP(B120,EPP!$B$7:$D$64,2,FALSE),"")</x:f>
        <x:v>OVEROL ANTIFUIDO INDUSTRIAL TXXL</x:v>
      </x:c>
      <x:c r="D120" s="76" t="str">
        <x:f>IFERROR(VLOOKUP(B120,EPP!$B$7:$D$64,3,FALSE),"")</x:f>
        <x:v>Unidad </x:v>
      </x:c>
      <x:c r="E120" s="76" t="s">
        <x:v>166</x:v>
      </x:c>
      <x:c r="F120" s="76">
        <x:v>1</x:v>
      </x:c>
      <x:c r="G120" s="71"/>
    </x:row>
    <x:row r="121">
      <x:c r="A121" s="74">
        <x:v>46069</x:v>
      </x:c>
      <x:c r="B121" s="76" t="s">
        <x:v>126</x:v>
      </x:c>
      <x:c r="C121" s="76" t="str">
        <x:f>IFERROR(VLOOKUP(B121,EPP!$B$7:$D$64,2,FALSE),"")</x:f>
        <x:v>IMPERMEABLE XL</x:v>
      </x:c>
      <x:c r="D121" s="76" t="str">
        <x:f>IFERROR(VLOOKUP(B121,EPP!$B$7:$D$64,3,FALSE),"")</x:f>
        <x:v>Unidad </x:v>
      </x:c>
      <x:c r="E121" s="76" t="s">
        <x:v>166</x:v>
      </x:c>
      <x:c r="F121" s="76">
        <x:v>1</x:v>
      </x:c>
      <x:c r="G121" s="71"/>
    </x:row>
    <x:row r="122">
      <x:c r="A122" s="74">
        <x:v>46069</x:v>
      </x:c>
      <x:c r="B122" s="76" t="s">
        <x:v>90</x:v>
      </x:c>
      <x:c r="C122" s="76" t="str">
        <x:f>IFERROR(VLOOKUP(B122,EPP!$B$7:$D$64,2,FALSE),"")</x:f>
        <x:v>PROTECTOR AUDITIVO COPA</x:v>
      </x:c>
      <x:c r="D122" s="76" t="str">
        <x:f>IFERROR(VLOOKUP(B122,EPP!$B$7:$D$64,3,FALSE),"")</x:f>
        <x:v>Unidad </x:v>
      </x:c>
      <x:c r="E122" s="76" t="s">
        <x:v>166</x:v>
      </x:c>
      <x:c r="F122" s="76">
        <x:v>1</x:v>
      </x:c>
      <x:c r="G122" s="71"/>
    </x:row>
    <x:row r="123">
      <x:c r="A123" s="74">
        <x:v>46069</x:v>
      </x:c>
      <x:c r="B123" s="76" t="s">
        <x:v>88</x:v>
      </x:c>
      <x:c r="C123" s="76" t="str">
        <x:f>IFERROR(VLOOKUP(B123,EPP!$B$7:$D$64,2,FALSE),"")</x:f>
        <x:v>PROTECTOR AUDITIVO INSERCIÓN</x:v>
      </x:c>
      <x:c r="D123" s="76" t="str">
        <x:f>IFERROR(VLOOKUP(B123,EPP!$B$7:$D$64,3,FALSE),"")</x:f>
        <x:v>Unidad </x:v>
      </x:c>
      <x:c r="E123" s="76" t="s">
        <x:v>166</x:v>
      </x:c>
      <x:c r="F123" s="76">
        <x:v>1</x:v>
      </x:c>
      <x:c r="G123" s="71"/>
    </x:row>
    <x:row r="124">
      <x:c r="A124" s="74">
        <x:v>46069</x:v>
      </x:c>
      <x:c r="B124" s="76" t="s">
        <x:v>78</x:v>
      </x:c>
      <x:c r="C124" s="76" t="str">
        <x:f>IFERROR(VLOOKUP(B124,EPP!$B$7:$D$64,2,FALSE),"")</x:f>
        <x:v>GUANTE KIM- NITRILO ARENADO T9</x:v>
      </x:c>
      <x:c r="D124" s="76" t="str">
        <x:f>IFERROR(VLOOKUP(B124,EPP!$B$7:$D$64,3,FALSE),"")</x:f>
        <x:v>Par</x:v>
      </x:c>
      <x:c r="E124" s="76" t="s">
        <x:v>166</x:v>
      </x:c>
      <x:c r="F124" s="76">
        <x:v>1</x:v>
      </x:c>
      <x:c r="G124" s="71"/>
    </x:row>
    <x:row r="125">
      <x:c r="A125" s="74">
        <x:v>46069</x:v>
      </x:c>
      <x:c r="B125" s="76" t="s">
        <x:v>52</x:v>
      </x:c>
      <x:c r="C125" s="76" t="str">
        <x:f>IFERROR(VLOOKUP(B125,EPP!$B$7:$D$64,2,FALSE),"")</x:f>
        <x:v>GUANTES DE NITRILO TL</x:v>
      </x:c>
      <x:c r="D125" s="76" t="str">
        <x:f>IFERROR(VLOOKUP(B125,EPP!$B$7:$D$64,3,FALSE),"")</x:f>
        <x:v>Par</x:v>
      </x:c>
      <x:c r="E125" s="76" t="s">
        <x:v>166</x:v>
      </x:c>
      <x:c r="F125" s="76">
        <x:v>1</x:v>
      </x:c>
      <x:c r="G125" s="71"/>
    </x:row>
    <x:row r="126">
      <x:c r="A126" s="74">
        <x:v>46069</x:v>
      </x:c>
      <x:c r="B126" s="76" t="s">
        <x:v>29</x:v>
      </x:c>
      <x:c r="C126" s="76" t="str">
        <x:f>IFERROR(VLOOKUP(B126,EPP!$B$7:$D$64,2,FALSE),"")</x:f>
        <x:v>GAFAS LENTE CLARO</x:v>
      </x:c>
      <x:c r="D126" s="76" t="str">
        <x:f>IFERROR(VLOOKUP(B126,EPP!$B$7:$D$64,3,FALSE),"")</x:f>
        <x:v>Unidad </x:v>
      </x:c>
      <x:c r="E126" s="76" t="s">
        <x:v>166</x:v>
      </x:c>
      <x:c r="F126" s="76">
        <x:v>1</x:v>
      </x:c>
      <x:c r="G126" s="71"/>
    </x:row>
    <x:row r="127">
      <x:c r="A127" s="74">
        <x:v>46069</x:v>
      </x:c>
      <x:c r="B127" s="76" t="s">
        <x:v>27</x:v>
      </x:c>
      <x:c r="C127" s="76" t="str">
        <x:f>IFERROR(VLOOKUP(B127,EPP!$B$7:$D$64,2,FALSE),"")</x:f>
        <x:v>GAFAS LENTE OSCURO</x:v>
      </x:c>
      <x:c r="D127" s="76" t="str">
        <x:f>IFERROR(VLOOKUP(B127,EPP!$B$7:$D$64,3,FALSE),"")</x:f>
        <x:v>Unidad </x:v>
      </x:c>
      <x:c r="E127" s="76" t="s">
        <x:v>166</x:v>
      </x:c>
      <x:c r="F127" s="76">
        <x:v>1</x:v>
      </x:c>
      <x:c r="G127" s="71"/>
    </x:row>
    <x:row r="128">
      <x:c r="A128" s="74">
        <x:v>46069</x:v>
      </x:c>
      <x:c r="B128" s="76" t="s">
        <x:v>21</x:v>
      </x:c>
      <x:c r="C128" s="76" t="str">
        <x:f>IFERROR(VLOOKUP(B128,EPP!$B$7:$D$64,2,FALSE),"")</x:f>
        <x:v>SOMBRERO TIPO SAFARY</x:v>
      </x:c>
      <x:c r="D128" s="76" t="str">
        <x:f>IFERROR(VLOOKUP(B128,EPP!$B$7:$D$64,3,FALSE),"")</x:f>
        <x:v>Unidad </x:v>
      </x:c>
      <x:c r="E128" s="76" t="s">
        <x:v>166</x:v>
      </x:c>
      <x:c r="F128" s="76">
        <x:v>1</x:v>
      </x:c>
      <x:c r="G128" s="71"/>
    </x:row>
    <x:row r="129">
      <x:c r="A129" s="74">
        <x:v>46070</x:v>
      </x:c>
      <x:c r="B129" s="76" t="s">
        <x:v>52</x:v>
      </x:c>
      <x:c r="C129" s="76" t="str">
        <x:f>IFERROR(VLOOKUP(B129,EPP!$B$7:$D$64,2,FALSE),"")</x:f>
        <x:v>GUANTES DE NITRILO TL</x:v>
      </x:c>
      <x:c r="D129" s="76" t="str">
        <x:f>IFERROR(VLOOKUP(B129,EPP!$B$7:$D$64,3,FALSE),"")</x:f>
        <x:v>Par</x:v>
      </x:c>
      <x:c r="E129" s="76" t="s">
        <x:v>167</x:v>
      </x:c>
      <x:c r="F129" s="76">
        <x:v>2</x:v>
      </x:c>
      <x:c r="G129" s="71"/>
    </x:row>
    <x:row r="130">
      <x:c r="A130" s="74">
        <x:v>46070</x:v>
      </x:c>
      <x:c r="B130" s="76" t="s">
        <x:v>52</x:v>
      </x:c>
      <x:c r="C130" s="76" t="str">
        <x:f>IFERROR(VLOOKUP(B130,EPP!$B$7:$D$64,2,FALSE),"")</x:f>
        <x:v>GUANTES DE NITRILO TL</x:v>
      </x:c>
      <x:c r="D130" s="76" t="str">
        <x:f>IFERROR(VLOOKUP(B130,EPP!$B$7:$D$64,3,FALSE),"")</x:f>
        <x:v>Par</x:v>
      </x:c>
      <x:c r="E130" s="76" t="s">
        <x:v>161</x:v>
      </x:c>
      <x:c r="F130" s="76">
        <x:v>2</x:v>
      </x:c>
      <x:c r="G130" s="71"/>
    </x:row>
    <x:row r="131">
      <x:c r="A131" s="74">
        <x:v>46070</x:v>
      </x:c>
      <x:c r="B131" s="76" t="s">
        <x:v>23</x:v>
      </x:c>
      <x:c r="C131" s="76" t="str">
        <x:f>IFERROR(VLOOKUP(B131,EPP!$B$7:$D$64,2,FALSE),"")</x:f>
        <x:v>CASCO ZAFARY</x:v>
      </x:c>
      <x:c r="D131" s="76" t="str">
        <x:f>IFERROR(VLOOKUP(B131,EPP!$B$7:$D$64,3,FALSE),"")</x:f>
        <x:v>Unidad </x:v>
      </x:c>
      <x:c r="E131" s="76" t="s">
        <x:v>168</x:v>
      </x:c>
      <x:c r="F131" s="76">
        <x:v>1</x:v>
      </x:c>
      <x:c r="G131" s="71"/>
    </x:row>
    <x:row r="132">
      <x:c r="A132" s="74">
        <x:v>46070</x:v>
      </x:c>
      <x:c r="B132" s="76" t="s">
        <x:v>110</x:v>
      </x:c>
      <x:c r="C132" s="76" t="str">
        <x:f>IFERROR(VLOOKUP(B132,EPP!$B$7:$D$64,2,FALSE),"")</x:f>
        <x:v>OVEROL ANTIFUIDO INDUSTRIAL TXL</x:v>
      </x:c>
      <x:c r="D132" s="76" t="str">
        <x:f>IFERROR(VLOOKUP(B132,EPP!$B$7:$D$64,3,FALSE),"")</x:f>
        <x:v>Unidad </x:v>
      </x:c>
      <x:c r="E132" s="76" t="s">
        <x:v>169</x:v>
      </x:c>
      <x:c r="F132" s="76">
        <x:v>1</x:v>
      </x:c>
      <x:c r="G132" s="71"/>
    </x:row>
    <x:row r="133">
      <x:c r="A133" s="74">
        <x:v>46070</x:v>
      </x:c>
      <x:c r="B133" s="76" t="s">
        <x:v>126</x:v>
      </x:c>
      <x:c r="C133" s="76" t="str">
        <x:f>IFERROR(VLOOKUP(B133,EPP!$B$7:$D$64,2,FALSE),"")</x:f>
        <x:v>IMPERMEABLE XL</x:v>
      </x:c>
      <x:c r="D133" s="76" t="str">
        <x:f>IFERROR(VLOOKUP(B133,EPP!$B$7:$D$64,3,FALSE),"")</x:f>
        <x:v>Unidad </x:v>
      </x:c>
      <x:c r="E133" s="76" t="s">
        <x:v>169</x:v>
      </x:c>
      <x:c r="F133" s="76">
        <x:v>1</x:v>
      </x:c>
      <x:c r="G133" s="71"/>
    </x:row>
    <x:row r="134">
      <x:c r="A134" s="74">
        <x:v>46070</x:v>
      </x:c>
      <x:c r="B134" s="76" t="s">
        <x:v>78</x:v>
      </x:c>
      <x:c r="C134" s="76" t="str">
        <x:f>IFERROR(VLOOKUP(B134,EPP!$B$7:$D$64,2,FALSE),"")</x:f>
        <x:v>GUANTE KIM- NITRILO ARENADO T9</x:v>
      </x:c>
      <x:c r="D134" s="76" t="str">
        <x:f>IFERROR(VLOOKUP(B134,EPP!$B$7:$D$64,3,FALSE),"")</x:f>
        <x:v>Par</x:v>
      </x:c>
      <x:c r="E134" s="76" t="s">
        <x:v>169</x:v>
      </x:c>
      <x:c r="F134" s="76">
        <x:v>1</x:v>
      </x:c>
      <x:c r="G134" s="71"/>
    </x:row>
    <x:row r="135">
      <x:c r="A135" s="74">
        <x:v>46070</x:v>
      </x:c>
      <x:c r="B135" s="76" t="s">
        <x:v>29</x:v>
      </x:c>
      <x:c r="C135" s="76" t="str">
        <x:f>IFERROR(VLOOKUP(B135,EPP!$B$7:$D$64,2,FALSE),"")</x:f>
        <x:v>GAFAS LENTE CLARO</x:v>
      </x:c>
      <x:c r="D135" s="76" t="str">
        <x:f>IFERROR(VLOOKUP(B135,EPP!$B$7:$D$64,3,FALSE),"")</x:f>
        <x:v>Unidad </x:v>
      </x:c>
      <x:c r="E135" s="76" t="s">
        <x:v>169</x:v>
      </x:c>
      <x:c r="F135" s="76">
        <x:v>1</x:v>
      </x:c>
      <x:c r="G135" s="71"/>
    </x:row>
    <x:row r="136">
      <x:c r="A136" s="74">
        <x:v>46070</x:v>
      </x:c>
      <x:c r="B136" s="76" t="s">
        <x:v>27</x:v>
      </x:c>
      <x:c r="C136" s="76" t="str">
        <x:f>IFERROR(VLOOKUP(B136,EPP!$B$7:$D$64,2,FALSE),"")</x:f>
        <x:v>GAFAS LENTE OSCURO</x:v>
      </x:c>
      <x:c r="D136" s="76" t="str">
        <x:f>IFERROR(VLOOKUP(B136,EPP!$B$7:$D$64,3,FALSE),"")</x:f>
        <x:v>Unidad </x:v>
      </x:c>
      <x:c r="E136" s="76" t="s">
        <x:v>169</x:v>
      </x:c>
      <x:c r="F136" s="76">
        <x:v>1</x:v>
      </x:c>
      <x:c r="G136" s="71"/>
    </x:row>
    <x:row r="137">
      <x:c r="A137" s="74">
        <x:v>46070</x:v>
      </x:c>
      <x:c r="B137" s="76" t="s">
        <x:v>23</x:v>
      </x:c>
      <x:c r="C137" s="76" t="str">
        <x:f>IFERROR(VLOOKUP(B137,EPP!$B$7:$D$64,2,FALSE),"")</x:f>
        <x:v>CASCO ZAFARY</x:v>
      </x:c>
      <x:c r="D137" s="76" t="str">
        <x:f>IFERROR(VLOOKUP(B137,EPP!$B$7:$D$64,3,FALSE),"")</x:f>
        <x:v>Unidad </x:v>
      </x:c>
      <x:c r="E137" s="76" t="s">
        <x:v>169</x:v>
      </x:c>
      <x:c r="F137" s="76">
        <x:v>1</x:v>
      </x:c>
      <x:c r="G137" s="71"/>
    </x:row>
    <x:row r="138">
      <x:c r="A138" s="74">
        <x:v>46070</x:v>
      </x:c>
      <x:c r="B138" s="76" t="s">
        <x:v>21</x:v>
      </x:c>
      <x:c r="C138" s="76" t="str">
        <x:f>IFERROR(VLOOKUP(B138,EPP!$B$7:$D$64,2,FALSE),"")</x:f>
        <x:v>SOMBRERO TIPO SAFARY</x:v>
      </x:c>
      <x:c r="D138" s="76" t="str">
        <x:f>IFERROR(VLOOKUP(B138,EPP!$B$7:$D$64,3,FALSE),"")</x:f>
        <x:v>Unidad </x:v>
      </x:c>
      <x:c r="E138" s="76" t="s">
        <x:v>169</x:v>
      </x:c>
      <x:c r="F138" s="76">
        <x:v>1</x:v>
      </x:c>
      <x:c r="G138" s="71"/>
    </x:row>
    <x:row r="139">
      <x:c r="A139" s="74">
        <x:v>46070</x:v>
      </x:c>
      <x:c r="B139" s="76" t="s">
        <x:v>132</x:v>
      </x:c>
      <x:c r="C139" s="76" t="str">
        <x:f>IFERROR(VLOOKUP(B139,EPP!$B$7:$D$64,2,FALSE),"")</x:f>
        <x:v>CASQUETE PORTAVISOR AMARILLO</x:v>
      </x:c>
      <x:c r="D139" s="76" t="str">
        <x:f>IFERROR(VLOOKUP(B139,EPP!$B$7:$D$64,3,FALSE),"")</x:f>
        <x:v>Unidad </x:v>
      </x:c>
      <x:c r="E139" s="76" t="s">
        <x:v>147</x:v>
      </x:c>
      <x:c r="F139" s="76">
        <x:v>1</x:v>
      </x:c>
      <x:c r="G139" s="71"/>
    </x:row>
    <x:row r="140">
      <x:c r="A140" s="74">
        <x:v>46070</x:v>
      </x:c>
      <x:c r="B140" s="76" t="s">
        <x:v>124</x:v>
      </x:c>
      <x:c r="C140" s="76" t="str">
        <x:f>IFERROR(VLOOKUP(B140,EPP!$B$7:$D$64,2,FALSE),"")</x:f>
        <x:v>ARNES DE GUADAÑA </x:v>
      </x:c>
      <x:c r="D140" s="76" t="str">
        <x:f>IFERROR(VLOOKUP(B140,EPP!$B$7:$D$64,3,FALSE),"")</x:f>
        <x:v>Unidad </x:v>
      </x:c>
      <x:c r="E140" s="76" t="s">
        <x:v>147</x:v>
      </x:c>
      <x:c r="F140" s="76">
        <x:v>1</x:v>
      </x:c>
      <x:c r="G140" s="71"/>
    </x:row>
    <x:row r="141">
      <x:c r="A141" s="74">
        <x:v>46070</x:v>
      </x:c>
      <x:c r="B141" s="76" t="s">
        <x:v>110</x:v>
      </x:c>
      <x:c r="C141" s="76" t="str">
        <x:f>IFERROR(VLOOKUP(B141,EPP!$B$7:$D$64,2,FALSE),"")</x:f>
        <x:v>OVEROL ANTIFUIDO INDUSTRIAL TXL</x:v>
      </x:c>
      <x:c r="D141" s="76" t="str">
        <x:f>IFERROR(VLOOKUP(B141,EPP!$B$7:$D$64,3,FALSE),"")</x:f>
        <x:v>Unidad </x:v>
      </x:c>
      <x:c r="E141" s="76" t="s">
        <x:v>147</x:v>
      </x:c>
      <x:c r="F141" s="76">
        <x:v>1</x:v>
      </x:c>
      <x:c r="G141" s="71"/>
    </x:row>
    <x:row r="142">
      <x:c r="A142" s="74">
        <x:v>46070</x:v>
      </x:c>
      <x:c r="B142" s="76" t="s">
        <x:v>104</x:v>
      </x:c>
      <x:c r="C142" s="76" t="str">
        <x:f>IFERROR(VLOOKUP(B142,EPP!$B$7:$D$64,2,FALSE),"")</x:f>
        <x:v>DELANTAL GUADAÑADOR</x:v>
      </x:c>
      <x:c r="D142" s="76" t="str">
        <x:f>IFERROR(VLOOKUP(B142,EPP!$B$7:$D$64,3,FALSE),"")</x:f>
        <x:v>Unidad </x:v>
      </x:c>
      <x:c r="E142" s="76" t="s">
        <x:v>147</x:v>
      </x:c>
      <x:c r="F142" s="76">
        <x:v>1</x:v>
      </x:c>
      <x:c r="G142" s="71"/>
    </x:row>
    <x:row r="143">
      <x:c r="A143" s="74">
        <x:v>46070</x:v>
      </x:c>
      <x:c r="B143" s="76" t="s">
        <x:v>126</x:v>
      </x:c>
      <x:c r="C143" s="76" t="str">
        <x:f>IFERROR(VLOOKUP(B143,EPP!$B$7:$D$64,2,FALSE),"")</x:f>
        <x:v>IMPERMEABLE XL</x:v>
      </x:c>
      <x:c r="D143" s="76" t="str">
        <x:f>IFERROR(VLOOKUP(B143,EPP!$B$7:$D$64,3,FALSE),"")</x:f>
        <x:v>Unidad </x:v>
      </x:c>
      <x:c r="E143" s="76" t="s">
        <x:v>147</x:v>
      </x:c>
      <x:c r="F143" s="76">
        <x:v>1</x:v>
      </x:c>
      <x:c r="G143" s="71"/>
    </x:row>
    <x:row r="144">
      <x:c r="A144" s="74">
        <x:v>46070</x:v>
      </x:c>
      <x:c r="B144" s="76" t="s">
        <x:v>27</x:v>
      </x:c>
      <x:c r="C144" s="76" t="str">
        <x:f>IFERROR(VLOOKUP(B144,EPP!$B$7:$D$64,2,FALSE),"")</x:f>
        <x:v>GAFAS LENTE OSCURO</x:v>
      </x:c>
      <x:c r="D144" s="76" t="str">
        <x:f>IFERROR(VLOOKUP(B144,EPP!$B$7:$D$64,3,FALSE),"")</x:f>
        <x:v>Unidad </x:v>
      </x:c>
      <x:c r="E144" s="76" t="s">
        <x:v>147</x:v>
      </x:c>
      <x:c r="F144" s="76">
        <x:v>1</x:v>
      </x:c>
      <x:c r="G144" s="71"/>
    </x:row>
    <x:row r="145">
      <x:c r="A145" s="74">
        <x:v>46070</x:v>
      </x:c>
      <x:c r="B145" s="76" t="s">
        <x:v>37</x:v>
      </x:c>
      <x:c r="C145" s="76" t="str">
        <x:f>IFERROR(VLOOKUP(B145,EPP!$B$7:$D$64,2,FALSE),"")</x:f>
        <x:v>VISOR  MALLA GUADAÑA</x:v>
      </x:c>
      <x:c r="D145" s="76" t="str">
        <x:f>IFERROR(VLOOKUP(B145,EPP!$B$7:$D$64,3,FALSE),"")</x:f>
        <x:v>Unidad </x:v>
      </x:c>
      <x:c r="E145" s="76" t="s">
        <x:v>147</x:v>
      </x:c>
      <x:c r="F145" s="76">
        <x:v>1</x:v>
      </x:c>
      <x:c r="G145" s="71"/>
    </x:row>
    <x:row r="146">
      <x:c r="A146" s="74">
        <x:v>46070</x:v>
      </x:c>
      <x:c r="B146" s="76" t="s">
        <x:v>21</x:v>
      </x:c>
      <x:c r="C146" s="76" t="str">
        <x:f>IFERROR(VLOOKUP(B146,EPP!$B$7:$D$64,2,FALSE),"")</x:f>
        <x:v>SOMBRERO TIPO SAFARY</x:v>
      </x:c>
      <x:c r="D146" s="76" t="str">
        <x:f>IFERROR(VLOOKUP(B146,EPP!$B$7:$D$64,3,FALSE),"")</x:f>
        <x:v>Unidad </x:v>
      </x:c>
      <x:c r="E146" s="76" t="s">
        <x:v>147</x:v>
      </x:c>
      <x:c r="F146" s="76">
        <x:v>1</x:v>
      </x:c>
      <x:c r="G146" s="71"/>
    </x:row>
    <x:row r="147">
      <x:c r="A147" s="74">
        <x:v>46070</x:v>
      </x:c>
      <x:c r="B147" s="76" t="s">
        <x:v>112</x:v>
      </x:c>
      <x:c r="C147" s="76" t="str">
        <x:f>IFERROR(VLOOKUP(B147,EPP!$B$7:$D$64,2,FALSE),"")</x:f>
        <x:v>OVEROL ANTIFUIDO INDUSTRIAL TXXL</x:v>
      </x:c>
      <x:c r="D147" s="76" t="str">
        <x:f>IFERROR(VLOOKUP(B147,EPP!$B$7:$D$64,3,FALSE),"")</x:f>
        <x:v>Unidad </x:v>
      </x:c>
      <x:c r="E147" s="76" t="s">
        <x:v>170</x:v>
      </x:c>
      <x:c r="F147" s="76">
        <x:v>1</x:v>
      </x:c>
      <x:c r="G147" s="71"/>
    </x:row>
    <x:row r="148">
      <x:c r="A148" s="74">
        <x:v>46070</x:v>
      </x:c>
      <x:c r="B148" s="76" t="s">
        <x:v>128</x:v>
      </x:c>
      <x:c r="C148" s="76" t="str">
        <x:f>IFERROR(VLOOKUP(B148,EPP!$B$7:$D$64,2,FALSE),"")</x:f>
        <x:v>IMPERMEABLE L</x:v>
      </x:c>
      <x:c r="D148" s="76" t="str">
        <x:f>IFERROR(VLOOKUP(B148,EPP!$B$7:$D$64,3,FALSE),"")</x:f>
        <x:v>Unidad </x:v>
      </x:c>
      <x:c r="E148" s="76" t="s">
        <x:v>170</x:v>
      </x:c>
      <x:c r="F148" s="76">
        <x:v>1</x:v>
      </x:c>
      <x:c r="G148" s="71"/>
    </x:row>
    <x:row r="149">
      <x:c r="A149" s="74">
        <x:v>46070</x:v>
      </x:c>
      <x:c r="B149" s="76" t="s">
        <x:v>78</x:v>
      </x:c>
      <x:c r="C149" s="76" t="str">
        <x:f>IFERROR(VLOOKUP(B149,EPP!$B$7:$D$64,2,FALSE),"")</x:f>
        <x:v>GUANTE KIM- NITRILO ARENADO T9</x:v>
      </x:c>
      <x:c r="D149" s="76" t="str">
        <x:f>IFERROR(VLOOKUP(B149,EPP!$B$7:$D$64,3,FALSE),"")</x:f>
        <x:v>Par</x:v>
      </x:c>
      <x:c r="E149" s="76" t="s">
        <x:v>170</x:v>
      </x:c>
      <x:c r="F149" s="76">
        <x:v>1</x:v>
      </x:c>
      <x:c r="G149" s="71"/>
    </x:row>
    <x:row r="150">
      <x:c r="A150" s="74">
        <x:v>46070</x:v>
      </x:c>
      <x:c r="B150" s="76" t="s">
        <x:v>29</x:v>
      </x:c>
      <x:c r="C150" s="76" t="str">
        <x:f>IFERROR(VLOOKUP(B150,EPP!$B$7:$D$64,2,FALSE),"")</x:f>
        <x:v>GAFAS LENTE CLARO</x:v>
      </x:c>
      <x:c r="D150" s="76" t="str">
        <x:f>IFERROR(VLOOKUP(B150,EPP!$B$7:$D$64,3,FALSE),"")</x:f>
        <x:v>Unidad </x:v>
      </x:c>
      <x:c r="E150" s="76" t="s">
        <x:v>170</x:v>
      </x:c>
      <x:c r="F150" s="76">
        <x:v>1</x:v>
      </x:c>
      <x:c r="G150" s="71"/>
    </x:row>
    <x:row r="151">
      <x:c r="A151" s="74">
        <x:v>46070</x:v>
      </x:c>
      <x:c r="B151" s="76" t="s">
        <x:v>27</x:v>
      </x:c>
      <x:c r="C151" s="76" t="str">
        <x:f>IFERROR(VLOOKUP(B151,EPP!$B$7:$D$64,2,FALSE),"")</x:f>
        <x:v>GAFAS LENTE OSCURO</x:v>
      </x:c>
      <x:c r="D151" s="76" t="str">
        <x:f>IFERROR(VLOOKUP(B151,EPP!$B$7:$D$64,3,FALSE),"")</x:f>
        <x:v>Unidad </x:v>
      </x:c>
      <x:c r="E151" s="76" t="s">
        <x:v>170</x:v>
      </x:c>
      <x:c r="F151" s="76">
        <x:v>1</x:v>
      </x:c>
      <x:c r="G151" s="71"/>
    </x:row>
    <x:row r="152">
      <x:c r="A152" s="74">
        <x:v>46070</x:v>
      </x:c>
      <x:c r="B152" s="76" t="s">
        <x:v>23</x:v>
      </x:c>
      <x:c r="C152" s="76" t="str">
        <x:f>IFERROR(VLOOKUP(B152,EPP!$B$7:$D$64,2,FALSE),"")</x:f>
        <x:v>CASCO ZAFARY</x:v>
      </x:c>
      <x:c r="D152" s="76" t="str">
        <x:f>IFERROR(VLOOKUP(B152,EPP!$B$7:$D$64,3,FALSE),"")</x:f>
        <x:v>Unidad </x:v>
      </x:c>
      <x:c r="E152" s="76" t="s">
        <x:v>170</x:v>
      </x:c>
      <x:c r="F152" s="76">
        <x:v>1</x:v>
      </x:c>
      <x:c r="G152" s="71"/>
    </x:row>
    <x:row r="153">
      <x:c r="A153" s="74">
        <x:v>46070</x:v>
      </x:c>
      <x:c r="B153" s="76" t="s">
        <x:v>21</x:v>
      </x:c>
      <x:c r="C153" s="76" t="str">
        <x:f>IFERROR(VLOOKUP(B153,EPP!$B$7:$D$64,2,FALSE),"")</x:f>
        <x:v>SOMBRERO TIPO SAFARY</x:v>
      </x:c>
      <x:c r="D153" s="76" t="str">
        <x:f>IFERROR(VLOOKUP(B153,EPP!$B$7:$D$64,3,FALSE),"")</x:f>
        <x:v>Unidad </x:v>
      </x:c>
      <x:c r="E153" s="76" t="s">
        <x:v>170</x:v>
      </x:c>
      <x:c r="F153" s="76">
        <x:v>1</x:v>
      </x:c>
      <x:c r="G153" s="71"/>
    </x:row>
    <x:row r="154">
      <x:c r="A154" s="74">
        <x:v>46070</x:v>
      </x:c>
      <x:c r="B154" s="76" t="s">
        <x:v>52</x:v>
      </x:c>
      <x:c r="C154" s="76" t="str">
        <x:f>IFERROR(VLOOKUP(B154,EPP!$B$7:$D$64,2,FALSE),"")</x:f>
        <x:v>GUANTES DE NITRILO TL</x:v>
      </x:c>
      <x:c r="D154" s="76" t="str">
        <x:f>IFERROR(VLOOKUP(B154,EPP!$B$7:$D$64,3,FALSE),"")</x:f>
        <x:v>Par</x:v>
      </x:c>
      <x:c r="E154" s="76" t="s">
        <x:v>163</x:v>
      </x:c>
      <x:c r="F154" s="76">
        <x:v>1</x:v>
      </x:c>
      <x:c r="G154" s="71"/>
    </x:row>
    <x:row r="155">
      <x:c r="A155" s="74">
        <x:v>46070</x:v>
      </x:c>
      <x:c r="B155" s="76" t="s">
        <x:v>52</x:v>
      </x:c>
      <x:c r="C155" s="76" t="str">
        <x:f>IFERROR(VLOOKUP(B155,EPP!$B$7:$D$64,2,FALSE),"")</x:f>
        <x:v>GUANTES DE NITRILO TL</x:v>
      </x:c>
      <x:c r="D155" s="76" t="str">
        <x:f>IFERROR(VLOOKUP(B155,EPP!$B$7:$D$64,3,FALSE),"")</x:f>
        <x:v>Par</x:v>
      </x:c>
      <x:c r="E155" s="76" t="s">
        <x:v>159</x:v>
      </x:c>
      <x:c r="F155" s="76">
        <x:v>1</x:v>
      </x:c>
      <x:c r="G155" s="71"/>
    </x:row>
    <x:row r="156">
      <x:c r="A156" s="74">
        <x:v>46070</x:v>
      </x:c>
      <x:c r="B156" s="76" t="s">
        <x:v>106</x:v>
      </x:c>
      <x:c r="C156" s="76" t="str">
        <x:f>IFERROR(VLOOKUP(B156,EPP!$B$7:$D$64,2,FALSE),"")</x:f>
        <x:v>OVEROL ANTIFUIDO INDUSTRIAL TM</x:v>
      </x:c>
      <x:c r="D156" s="76" t="str">
        <x:f>IFERROR(VLOOKUP(B156,EPP!$B$7:$D$64,3,FALSE),"")</x:f>
        <x:v>Unidad </x:v>
      </x:c>
      <x:c r="E156" s="76" t="s">
        <x:v>171</x:v>
      </x:c>
      <x:c r="F156" s="76">
        <x:v>1</x:v>
      </x:c>
      <x:c r="G156" s="71"/>
    </x:row>
    <x:row r="157">
      <x:c r="A157" s="74">
        <x:v>46070</x:v>
      </x:c>
      <x:c r="B157" s="76" t="s">
        <x:v>130</x:v>
      </x:c>
      <x:c r="C157" s="76" t="str">
        <x:f>IFERROR(VLOOKUP(B157,EPP!$B$7:$D$64,2,FALSE),"")</x:f>
        <x:v>IMPERMEABLE M</x:v>
      </x:c>
      <x:c r="D157" s="76" t="str">
        <x:f>IFERROR(VLOOKUP(B157,EPP!$B$7:$D$64,3,FALSE),"")</x:f>
        <x:v>Unidad </x:v>
      </x:c>
      <x:c r="E157" s="76" t="s">
        <x:v>171</x:v>
      </x:c>
      <x:c r="F157" s="76">
        <x:v>1</x:v>
      </x:c>
      <x:c r="G157" s="71"/>
    </x:row>
    <x:row r="158">
      <x:c r="A158" s="74">
        <x:v>46070</x:v>
      </x:c>
      <x:c r="B158" s="76" t="s">
        <x:v>78</x:v>
      </x:c>
      <x:c r="C158" s="76" t="str">
        <x:f>IFERROR(VLOOKUP(B158,EPP!$B$7:$D$64,2,FALSE),"")</x:f>
        <x:v>GUANTE KIM- NITRILO ARENADO T9</x:v>
      </x:c>
      <x:c r="D158" s="76" t="str">
        <x:f>IFERROR(VLOOKUP(B158,EPP!$B$7:$D$64,3,FALSE),"")</x:f>
        <x:v>Par</x:v>
      </x:c>
      <x:c r="E158" s="76" t="s">
        <x:v>171</x:v>
      </x:c>
      <x:c r="F158" s="76">
        <x:v>1</x:v>
      </x:c>
      <x:c r="G158" s="71"/>
    </x:row>
    <x:row r="159">
      <x:c r="A159" s="74">
        <x:v>46070</x:v>
      </x:c>
      <x:c r="B159" s="76" t="s">
        <x:v>29</x:v>
      </x:c>
      <x:c r="C159" s="76" t="str">
        <x:f>IFERROR(VLOOKUP(B159,EPP!$B$7:$D$64,2,FALSE),"")</x:f>
        <x:v>GAFAS LENTE CLARO</x:v>
      </x:c>
      <x:c r="D159" s="76" t="str">
        <x:f>IFERROR(VLOOKUP(B159,EPP!$B$7:$D$64,3,FALSE),"")</x:f>
        <x:v>Unidad </x:v>
      </x:c>
      <x:c r="E159" s="76" t="s">
        <x:v>171</x:v>
      </x:c>
      <x:c r="F159" s="76">
        <x:v>1</x:v>
      </x:c>
      <x:c r="G159" s="71"/>
    </x:row>
    <x:row r="160">
      <x:c r="A160" s="74">
        <x:v>46070</x:v>
      </x:c>
      <x:c r="B160" s="76" t="s">
        <x:v>27</x:v>
      </x:c>
      <x:c r="C160" s="76" t="str">
        <x:f>IFERROR(VLOOKUP(B160,EPP!$B$7:$D$64,2,FALSE),"")</x:f>
        <x:v>GAFAS LENTE OSCURO</x:v>
      </x:c>
      <x:c r="D160" s="76" t="str">
        <x:f>IFERROR(VLOOKUP(B160,EPP!$B$7:$D$64,3,FALSE),"")</x:f>
        <x:v>Unidad </x:v>
      </x:c>
      <x:c r="E160" s="76" t="s">
        <x:v>171</x:v>
      </x:c>
      <x:c r="F160" s="76">
        <x:v>1</x:v>
      </x:c>
      <x:c r="G160" s="71"/>
    </x:row>
    <x:row r="161">
      <x:c r="A161" s="74">
        <x:v>46070</x:v>
      </x:c>
      <x:c r="B161" s="76" t="s">
        <x:v>23</x:v>
      </x:c>
      <x:c r="C161" s="76" t="str">
        <x:f>IFERROR(VLOOKUP(B161,EPP!$B$7:$D$64,2,FALSE),"")</x:f>
        <x:v>CASCO ZAFARY</x:v>
      </x:c>
      <x:c r="D161" s="76" t="str">
        <x:f>IFERROR(VLOOKUP(B161,EPP!$B$7:$D$64,3,FALSE),"")</x:f>
        <x:v>Unidad </x:v>
      </x:c>
      <x:c r="E161" s="76" t="s">
        <x:v>171</x:v>
      </x:c>
      <x:c r="F161" s="76">
        <x:v>1</x:v>
      </x:c>
      <x:c r="G161" s="71"/>
    </x:row>
    <x:row r="162">
      <x:c r="A162" s="74">
        <x:v>46070</x:v>
      </x:c>
      <x:c r="B162" s="76" t="s">
        <x:v>21</x:v>
      </x:c>
      <x:c r="C162" s="76" t="str">
        <x:f>IFERROR(VLOOKUP(B162,EPP!$B$7:$D$64,2,FALSE),"")</x:f>
        <x:v>SOMBRERO TIPO SAFARY</x:v>
      </x:c>
      <x:c r="D162" s="76" t="str">
        <x:f>IFERROR(VLOOKUP(B162,EPP!$B$7:$D$64,3,FALSE),"")</x:f>
        <x:v>Unidad </x:v>
      </x:c>
      <x:c r="E162" s="76" t="s">
        <x:v>171</x:v>
      </x:c>
      <x:c r="F162" s="76">
        <x:v>1</x:v>
      </x:c>
      <x:c r="G162" s="71"/>
    </x:row>
    <x:row r="163">
      <x:c r="A163" s="74">
        <x:v>46071</x:v>
      </x:c>
      <x:c r="B163" s="76" t="s">
        <x:v>82</x:v>
      </x:c>
      <x:c r="C163" s="76" t="str">
        <x:f>IFERROR(VLOOKUP(B163,EPP!$B$7:$D$64,2,FALSE),"")</x:f>
        <x:v>GUANTE ANTIIMPACTO LINK XL</x:v>
      </x:c>
      <x:c r="D163" s="76" t="str">
        <x:f>IFERROR(VLOOKUP(B163,EPP!$B$7:$D$64,3,FALSE),"")</x:f>
        <x:v>Par</x:v>
      </x:c>
      <x:c r="E163" s="76" t="s">
        <x:v>154</x:v>
      </x:c>
      <x:c r="F163" s="76">
        <x:v>1</x:v>
      </x:c>
      <x:c r="G163" s="71"/>
    </x:row>
    <x:row r="164">
      <x:c r="A164" s="74">
        <x:v>46071</x:v>
      </x:c>
      <x:c r="B164" s="76" t="s">
        <x:v>50</x:v>
      </x:c>
      <x:c r="C164" s="76" t="str">
        <x:f>IFERROR(VLOOKUP(B164,EPP!$B$7:$D$64,2,FALSE),"")</x:f>
        <x:v>TAPABOCAS INDUSTRIAL NEGRO</x:v>
      </x:c>
      <x:c r="D164" s="76" t="str">
        <x:f>IFERROR(VLOOKUP(B164,EPP!$B$7:$D$64,3,FALSE),"")</x:f>
        <x:v>Unidad </x:v>
      </x:c>
      <x:c r="E164" s="76" t="s">
        <x:v>153</x:v>
      </x:c>
      <x:c r="F164" s="76">
        <x:v>1</x:v>
      </x:c>
      <x:c r="G164" s="71"/>
    </x:row>
    <x:row r="165">
      <x:c r="A165" s="74">
        <x:v>46071</x:v>
      </x:c>
      <x:c r="B165" s="76" t="s">
        <x:v>114</x:v>
      </x:c>
      <x:c r="C165" s="76" t="str">
        <x:f>IFERROR(VLOOKUP(B165,EPP!$B$7:$D$64,2,FALSE),"")</x:f>
        <x:v>OVEROL DESCARTABLE TM</x:v>
      </x:c>
      <x:c r="D165" s="76" t="str">
        <x:f>IFERROR(VLOOKUP(B165,EPP!$B$7:$D$64,3,FALSE),"")</x:f>
        <x:v>Unidad </x:v>
      </x:c>
      <x:c r="E165" s="76" t="s">
        <x:v>155</x:v>
      </x:c>
      <x:c r="F165" s="76">
        <x:v>1</x:v>
      </x:c>
      <x:c r="G165" s="71"/>
    </x:row>
    <x:row r="166">
      <x:c r="A166" s="74">
        <x:v>46071</x:v>
      </x:c>
      <x:c r="B166" s="76" t="s">
        <x:v>78</x:v>
      </x:c>
      <x:c r="C166" s="76" t="str">
        <x:f>IFERROR(VLOOKUP(B166,EPP!$B$7:$D$64,2,FALSE),"")</x:f>
        <x:v>GUANTE KIM- NITRILO ARENADO T9</x:v>
      </x:c>
      <x:c r="D166" s="76" t="str">
        <x:f>IFERROR(VLOOKUP(B166,EPP!$B$7:$D$64,3,FALSE),"")</x:f>
        <x:v>Par</x:v>
      </x:c>
      <x:c r="E166" s="76" t="s">
        <x:v>155</x:v>
      </x:c>
      <x:c r="F166" s="76">
        <x:v>1</x:v>
      </x:c>
      <x:c r="G166" s="71"/>
    </x:row>
    <x:row r="167">
      <x:c r="A167" s="74">
        <x:v>46071</x:v>
      </x:c>
      <x:c r="B167" s="76" t="s">
        <x:v>52</x:v>
      </x:c>
      <x:c r="C167" s="76" t="str">
        <x:f>IFERROR(VLOOKUP(B167,EPP!$B$7:$D$64,2,FALSE),"")</x:f>
        <x:v>GUANTES DE NITRILO TL</x:v>
      </x:c>
      <x:c r="D167" s="76" t="str">
        <x:f>IFERROR(VLOOKUP(B167,EPP!$B$7:$D$64,3,FALSE),"")</x:f>
        <x:v>Par</x:v>
      </x:c>
      <x:c r="E167" s="76" t="s">
        <x:v>155</x:v>
      </x:c>
      <x:c r="F167" s="76">
        <x:v>1</x:v>
      </x:c>
      <x:c r="G167" s="71"/>
    </x:row>
    <x:row r="168">
      <x:c r="A168" s="74">
        <x:v>46071</x:v>
      </x:c>
      <x:c r="B168" s="76" t="s">
        <x:v>42</x:v>
      </x:c>
      <x:c r="C168" s="76" t="str">
        <x:f>IFERROR(VLOOKUP(B168,EPP!$B$7:$D$64,2,FALSE),"")</x:f>
        <x:v>FILTROS PARA MASCARA 6003</x:v>
      </x:c>
      <x:c r="D168" s="76" t="str">
        <x:f>IFERROR(VLOOKUP(B168,EPP!$B$7:$D$64,3,FALSE),"")</x:f>
        <x:v>Par</x:v>
      </x:c>
      <x:c r="E168" s="76" t="s">
        <x:v>155</x:v>
      </x:c>
      <x:c r="F168" s="76">
        <x:v>1</x:v>
      </x:c>
      <x:c r="G168" s="71"/>
    </x:row>
    <x:row r="169">
      <x:c r="A169" s="74">
        <x:v>46071</x:v>
      </x:c>
      <x:c r="B169" s="76" t="s">
        <x:v>39</x:v>
      </x:c>
      <x:c r="C169" s="76" t="str">
        <x:f>IFERROR(VLOOKUP(B169,EPP!$B$7:$D$64,2,FALSE),"")</x:f>
        <x:v>MASCARA RESPIRADOR MEDIA CARA 3M 6200 TM </x:v>
      </x:c>
      <x:c r="D169" s="76" t="str">
        <x:f>IFERROR(VLOOKUP(B169,EPP!$B$7:$D$64,3,FALSE),"")</x:f>
        <x:v>Par</x:v>
      </x:c>
      <x:c r="E169" s="76" t="s">
        <x:v>155</x:v>
      </x:c>
      <x:c r="F169" s="76">
        <x:v>1</x:v>
      </x:c>
      <x:c r="G169" s="71"/>
    </x:row>
    <x:row r="170">
      <x:c r="A170" s="74">
        <x:v>46071</x:v>
      </x:c>
      <x:c r="B170" s="76" t="s">
        <x:v>31</x:v>
      </x:c>
      <x:c r="C170" s="76" t="str">
        <x:f>IFERROR(VLOOKUP(B170,EPP!$B$7:$D$64,2,FALSE),"")</x:f>
        <x:v>MONOGAFAS</x:v>
      </x:c>
      <x:c r="D170" s="76" t="str">
        <x:f>IFERROR(VLOOKUP(B170,EPP!$B$7:$D$64,3,FALSE),"")</x:f>
        <x:v>Unidad </x:v>
      </x:c>
      <x:c r="E170" s="76" t="s">
        <x:v>155</x:v>
      </x:c>
      <x:c r="F170" s="76">
        <x:v>1</x:v>
      </x:c>
      <x:c r="G170" s="71"/>
    </x:row>
    <x:row r="171">
      <x:c r="A171" s="74">
        <x:v>46071</x:v>
      </x:c>
      <x:c r="B171" s="76" t="s">
        <x:v>21</x:v>
      </x:c>
      <x:c r="C171" s="76" t="str">
        <x:f>IFERROR(VLOOKUP(B171,EPP!$B$7:$D$64,2,FALSE),"")</x:f>
        <x:v>SOMBRERO TIPO SAFARY</x:v>
      </x:c>
      <x:c r="D171" s="76" t="str">
        <x:f>IFERROR(VLOOKUP(B171,EPP!$B$7:$D$64,3,FALSE),"")</x:f>
        <x:v>Unidad </x:v>
      </x:c>
      <x:c r="E171" s="76" t="s">
        <x:v>155</x:v>
      </x:c>
      <x:c r="F171" s="76">
        <x:v>1</x:v>
      </x:c>
      <x:c r="G171" s="71"/>
    </x:row>
    <x:row r="172">
      <x:c r="A172" s="74">
        <x:v>46071</x:v>
      </x:c>
      <x:c r="B172" s="76" t="s">
        <x:v>29</x:v>
      </x:c>
      <x:c r="C172" s="76" t="str">
        <x:f>IFERROR(VLOOKUP(B172,EPP!$B$7:$D$64,2,FALSE),"")</x:f>
        <x:v>GAFAS LENTE CLARO</x:v>
      </x:c>
      <x:c r="D172" s="76" t="str">
        <x:f>IFERROR(VLOOKUP(B172,EPP!$B$7:$D$64,3,FALSE),"")</x:f>
        <x:v>Unidad </x:v>
      </x:c>
      <x:c r="E172" s="76" t="s">
        <x:v>155</x:v>
      </x:c>
      <x:c r="F172" s="76">
        <x:v>1</x:v>
      </x:c>
      <x:c r="G172" s="71"/>
    </x:row>
    <x:row r="173">
      <x:c r="A173" s="74">
        <x:v>46071</x:v>
      </x:c>
      <x:c r="B173" s="76" t="s">
        <x:v>102</x:v>
      </x:c>
      <x:c r="C173" s="76" t="str">
        <x:f>IFERROR(VLOOKUP(B173,EPP!$B$7:$D$64,2,FALSE),"")</x:f>
        <x:v>DELANTAL PARA USO INDUSTRIAL CORTO C16</x:v>
      </x:c>
      <x:c r="D173" s="76" t="str">
        <x:f>IFERROR(VLOOKUP(B173,EPP!$B$7:$D$64,3,FALSE),"")</x:f>
        <x:v>Unidad </x:v>
      </x:c>
      <x:c r="E173" s="76" t="s">
        <x:v>155</x:v>
      </x:c>
      <x:c r="F173" s="76">
        <x:v>1</x:v>
      </x:c>
      <x:c r="G173" s="71"/>
    </x:row>
    <x:row r="174">
      <x:c r="A174" s="74">
        <x:v>46072</x:v>
      </x:c>
      <x:c r="B174" s="76" t="s">
        <x:v>82</x:v>
      </x:c>
      <x:c r="C174" s="76" t="str">
        <x:f>IFERROR(VLOOKUP(B174,EPP!$B$7:$D$64,2,FALSE),"")</x:f>
        <x:v>GUANTE ANTIIMPACTO LINK XL</x:v>
      </x:c>
      <x:c r="D174" s="76" t="str">
        <x:f>IFERROR(VLOOKUP(B174,EPP!$B$7:$D$64,3,FALSE),"")</x:f>
        <x:v>Par</x:v>
      </x:c>
      <x:c r="E174" s="76" t="s">
        <x:v>157</x:v>
      </x:c>
      <x:c r="F174" s="76">
        <x:v>1</x:v>
      </x:c>
      <x:c r="G174" s="71"/>
    </x:row>
    <x:row r="175">
      <x:c r="A175" s="74">
        <x:v>46072</x:v>
      </x:c>
      <x:c r="B175" s="76" t="s">
        <x:v>78</x:v>
      </x:c>
      <x:c r="C175" s="76" t="str">
        <x:f>IFERROR(VLOOKUP(B175,EPP!$B$7:$D$64,2,FALSE),"")</x:f>
        <x:v>GUANTE KIM- NITRILO ARENADO T9</x:v>
      </x:c>
      <x:c r="D175" s="76" t="str">
        <x:f>IFERROR(VLOOKUP(B175,EPP!$B$7:$D$64,3,FALSE),"")</x:f>
        <x:v>Par</x:v>
      </x:c>
      <x:c r="E175" s="76" t="s">
        <x:v>161</x:v>
      </x:c>
      <x:c r="F175" s="76">
        <x:v>1</x:v>
      </x:c>
      <x:c r="G175" s="71"/>
    </x:row>
    <x:row r="176">
      <x:c r="A176" s="74">
        <x:v>46072</x:v>
      </x:c>
      <x:c r="B176" s="76" t="s">
        <x:v>52</x:v>
      </x:c>
      <x:c r="C176" s="76" t="str">
        <x:f>IFERROR(VLOOKUP(B176,EPP!$B$7:$D$64,2,FALSE),"")</x:f>
        <x:v>GUANTES DE NITRILO TL</x:v>
      </x:c>
      <x:c r="D176" s="76" t="str">
        <x:f>IFERROR(VLOOKUP(B176,EPP!$B$7:$D$64,3,FALSE),"")</x:f>
        <x:v>Par</x:v>
      </x:c>
      <x:c r="E176" s="76" t="s">
        <x:v>161</x:v>
      </x:c>
      <x:c r="F176" s="76">
        <x:v>2</x:v>
      </x:c>
      <x:c r="G176" s="71"/>
    </x:row>
    <x:row r="177">
      <x:c r="A177" s="74">
        <x:v>46072</x:v>
      </x:c>
      <x:c r="B177" s="76" t="s">
        <x:v>78</x:v>
      </x:c>
      <x:c r="C177" s="76" t="str">
        <x:f>IFERROR(VLOOKUP(B177,EPP!$B$7:$D$64,2,FALSE),"")</x:f>
        <x:v>GUANTE KIM- NITRILO ARENADO T9</x:v>
      </x:c>
      <x:c r="D177" s="76" t="str">
        <x:f>IFERROR(VLOOKUP(B177,EPP!$B$7:$D$64,3,FALSE),"")</x:f>
        <x:v>Par</x:v>
      </x:c>
      <x:c r="E177" s="76" t="s">
        <x:v>157</x:v>
      </x:c>
      <x:c r="F177" s="76">
        <x:v>1</x:v>
      </x:c>
      <x:c r="G177" s="71"/>
    </x:row>
    <x:row r="178">
      <x:c r="A178" s="74">
        <x:v>46072</x:v>
      </x:c>
      <x:c r="B178" s="76" t="s">
        <x:v>27</x:v>
      </x:c>
      <x:c r="C178" s="76" t="str">
        <x:f>IFERROR(VLOOKUP(B178,EPP!$B$7:$D$64,2,FALSE),"")</x:f>
        <x:v>GAFAS LENTE OSCURO</x:v>
      </x:c>
      <x:c r="D178" s="76" t="str">
        <x:f>IFERROR(VLOOKUP(B178,EPP!$B$7:$D$64,3,FALSE),"")</x:f>
        <x:v>Unidad </x:v>
      </x:c>
      <x:c r="E178" s="76" t="s">
        <x:v>157</x:v>
      </x:c>
      <x:c r="F178" s="76">
        <x:v>1</x:v>
      </x:c>
      <x:c r="G178" s="71"/>
    </x:row>
    <x:row r="179">
      <x:c r="A179" s="74">
        <x:v>46075</x:v>
      </x:c>
      <x:c r="B179" s="76" t="s">
        <x:v>52</x:v>
      </x:c>
      <x:c r="C179" s="76" t="str">
        <x:f>IFERROR(VLOOKUP(B179,EPP!$B$7:$D$64,2,FALSE),"")</x:f>
        <x:v>GUANTES DE NITRILO TL</x:v>
      </x:c>
      <x:c r="D179" s="76" t="str">
        <x:f>IFERROR(VLOOKUP(B179,EPP!$B$7:$D$64,3,FALSE),"")</x:f>
        <x:v>Par</x:v>
      </x:c>
      <x:c r="E179" s="76" t="s">
        <x:v>161</x:v>
      </x:c>
      <x:c r="F179" s="76">
        <x:v>2</x:v>
      </x:c>
      <x:c r="G179" s="71"/>
    </x:row>
    <x:row r="180">
      <x:c r="A180" s="74">
        <x:v>46076</x:v>
      </x:c>
      <x:c r="B180" s="76" t="s">
        <x:v>104</x:v>
      </x:c>
      <x:c r="C180" s="76" t="str">
        <x:f>IFERROR(VLOOKUP(B180,EPP!$B$7:$D$64,2,FALSE),"")</x:f>
        <x:v>DELANTAL GUADAÑADOR</x:v>
      </x:c>
      <x:c r="D180" s="76" t="str">
        <x:f>IFERROR(VLOOKUP(B180,EPP!$B$7:$D$64,3,FALSE),"")</x:f>
        <x:v>Unidad </x:v>
      </x:c>
      <x:c r="E180" s="76" t="s">
        <x:v>158</x:v>
      </x:c>
      <x:c r="F180" s="76">
        <x:v>1</x:v>
      </x:c>
      <x:c r="G180" s="71"/>
    </x:row>
    <x:row r="181">
      <x:c r="A181" s="74">
        <x:v>46076</x:v>
      </x:c>
      <x:c r="B181" s="76" t="s">
        <x:v>88</x:v>
      </x:c>
      <x:c r="C181" s="76" t="str">
        <x:f>IFERROR(VLOOKUP(B181,EPP!$B$7:$D$64,2,FALSE),"")</x:f>
        <x:v>PROTECTOR AUDITIVO INSERCIÓN</x:v>
      </x:c>
      <x:c r="D181" s="76" t="str">
        <x:f>IFERROR(VLOOKUP(B181,EPP!$B$7:$D$64,3,FALSE),"")</x:f>
        <x:v>Unidad </x:v>
      </x:c>
      <x:c r="E181" s="76" t="s">
        <x:v>152</x:v>
      </x:c>
      <x:c r="F181" s="76">
        <x:v>1</x:v>
      </x:c>
      <x:c r="G181" s="71"/>
    </x:row>
    <x:row r="182">
      <x:c r="A182" s="74">
        <x:v>46076</x:v>
      </x:c>
      <x:c r="B182" s="76" t="s">
        <x:v>82</x:v>
      </x:c>
      <x:c r="C182" s="76" t="str">
        <x:f>IFERROR(VLOOKUP(B182,EPP!$B$7:$D$64,2,FALSE),"")</x:f>
        <x:v>GUANTE ANTIIMPACTO LINK XL</x:v>
      </x:c>
      <x:c r="D182" s="76" t="str">
        <x:f>IFERROR(VLOOKUP(B182,EPP!$B$7:$D$64,3,FALSE),"")</x:f>
        <x:v>Par</x:v>
      </x:c>
      <x:c r="E182" s="76" t="s">
        <x:v>150</x:v>
      </x:c>
      <x:c r="F182" s="76">
        <x:v>1</x:v>
      </x:c>
      <x:c r="G182" s="71"/>
    </x:row>
    <x:row r="183">
      <x:c r="A183" s="74">
        <x:v>46076</x:v>
      </x:c>
      <x:c r="B183" s="76" t="s">
        <x:v>82</x:v>
      </x:c>
      <x:c r="C183" s="76" t="str">
        <x:f>IFERROR(VLOOKUP(B183,EPP!$B$7:$D$64,2,FALSE),"")</x:f>
        <x:v>GUANTE ANTIIMPACTO LINK XL</x:v>
      </x:c>
      <x:c r="D183" s="76" t="str">
        <x:f>IFERROR(VLOOKUP(B183,EPP!$B$7:$D$64,3,FALSE),"")</x:f>
        <x:v>Par</x:v>
      </x:c>
      <x:c r="E183" s="76" t="s">
        <x:v>162</x:v>
      </x:c>
      <x:c r="F183" s="76">
        <x:v>1</x:v>
      </x:c>
      <x:c r="G183" s="71"/>
    </x:row>
    <x:row r="184">
      <x:c r="A184" s="74">
        <x:v>46076</x:v>
      </x:c>
      <x:c r="B184" s="76" t="s">
        <x:v>82</x:v>
      </x:c>
      <x:c r="C184" s="76" t="str">
        <x:f>IFERROR(VLOOKUP(B184,EPP!$B$7:$D$64,2,FALSE),"")</x:f>
        <x:v>GUANTE ANTIIMPACTO LINK XL</x:v>
      </x:c>
      <x:c r="D184" s="76" t="str">
        <x:f>IFERROR(VLOOKUP(B184,EPP!$B$7:$D$64,3,FALSE),"")</x:f>
        <x:v>Par</x:v>
      </x:c>
      <x:c r="E184" s="76" t="s">
        <x:v>158</x:v>
      </x:c>
      <x:c r="F184" s="76">
        <x:v>1</x:v>
      </x:c>
      <x:c r="G184" s="71"/>
    </x:row>
    <x:row r="185">
      <x:c r="A185" s="74">
        <x:v>46076</x:v>
      </x:c>
      <x:c r="B185" s="76" t="s">
        <x:v>78</x:v>
      </x:c>
      <x:c r="C185" s="76" t="str">
        <x:f>IFERROR(VLOOKUP(B185,EPP!$B$7:$D$64,2,FALSE),"")</x:f>
        <x:v>GUANTE KIM- NITRILO ARENADO T9</x:v>
      </x:c>
      <x:c r="D185" s="76" t="str">
        <x:f>IFERROR(VLOOKUP(B185,EPP!$B$7:$D$64,3,FALSE),"")</x:f>
        <x:v>Par</x:v>
      </x:c>
      <x:c r="E185" s="76" t="s">
        <x:v>150</x:v>
      </x:c>
      <x:c r="F185" s="76">
        <x:v>1</x:v>
      </x:c>
      <x:c r="G185" s="71"/>
    </x:row>
    <x:row r="186">
      <x:c r="A186" s="74">
        <x:v>46076</x:v>
      </x:c>
      <x:c r="B186" s="76" t="s">
        <x:v>78</x:v>
      </x:c>
      <x:c r="C186" s="76" t="str">
        <x:f>IFERROR(VLOOKUP(B186,EPP!$B$7:$D$64,2,FALSE),"")</x:f>
        <x:v>GUANTE KIM- NITRILO ARENADO T9</x:v>
      </x:c>
      <x:c r="D186" s="76" t="str">
        <x:f>IFERROR(VLOOKUP(B186,EPP!$B$7:$D$64,3,FALSE),"")</x:f>
        <x:v>Par</x:v>
      </x:c>
      <x:c r="E186" s="76" t="s">
        <x:v>149</x:v>
      </x:c>
      <x:c r="F186" s="76">
        <x:v>1</x:v>
      </x:c>
      <x:c r="G186" s="71"/>
    </x:row>
    <x:row r="187">
      <x:c r="A187" s="74">
        <x:v>46076</x:v>
      </x:c>
      <x:c r="B187" s="76" t="s">
        <x:v>78</x:v>
      </x:c>
      <x:c r="C187" s="76" t="str">
        <x:f>IFERROR(VLOOKUP(B187,EPP!$B$7:$D$64,2,FALSE),"")</x:f>
        <x:v>GUANTE KIM- NITRILO ARENADO T9</x:v>
      </x:c>
      <x:c r="D187" s="76" t="str">
        <x:f>IFERROR(VLOOKUP(B187,EPP!$B$7:$D$64,3,FALSE),"")</x:f>
        <x:v>Par</x:v>
      </x:c>
      <x:c r="E187" s="76" t="s">
        <x:v>162</x:v>
      </x:c>
      <x:c r="F187" s="76">
        <x:v>1</x:v>
      </x:c>
      <x:c r="G187" s="71"/>
    </x:row>
    <x:row r="188">
      <x:c r="A188" s="74">
        <x:v>46076</x:v>
      </x:c>
      <x:c r="B188" s="76" t="s">
        <x:v>78</x:v>
      </x:c>
      <x:c r="C188" s="76" t="str">
        <x:f>IFERROR(VLOOKUP(B188,EPP!$B$7:$D$64,2,FALSE),"")</x:f>
        <x:v>GUANTE KIM- NITRILO ARENADO T9</x:v>
      </x:c>
      <x:c r="D188" s="76" t="str">
        <x:f>IFERROR(VLOOKUP(B188,EPP!$B$7:$D$64,3,FALSE),"")</x:f>
        <x:v>Par</x:v>
      </x:c>
      <x:c r="E188" s="76" t="s">
        <x:v>143</x:v>
      </x:c>
      <x:c r="F188" s="76">
        <x:v>1</x:v>
      </x:c>
      <x:c r="G188" s="71"/>
    </x:row>
    <x:row r="189">
      <x:c r="A189" s="74">
        <x:v>46076</x:v>
      </x:c>
      <x:c r="B189" s="76" t="s">
        <x:v>78</x:v>
      </x:c>
      <x:c r="C189" s="76" t="str">
        <x:f>IFERROR(VLOOKUP(B189,EPP!$B$7:$D$64,2,FALSE),"")</x:f>
        <x:v>GUANTE KIM- NITRILO ARENADO T9</x:v>
      </x:c>
      <x:c r="D189" s="76" t="str">
        <x:f>IFERROR(VLOOKUP(B189,EPP!$B$7:$D$64,3,FALSE),"")</x:f>
        <x:v>Par</x:v>
      </x:c>
      <x:c r="E189" s="76" t="s">
        <x:v>154</x:v>
      </x:c>
      <x:c r="F189" s="76">
        <x:v>1</x:v>
      </x:c>
      <x:c r="G189" s="71"/>
    </x:row>
    <x:row r="190">
      <x:c r="A190" s="74">
        <x:v>46076</x:v>
      </x:c>
      <x:c r="B190" s="76" t="s">
        <x:v>78</x:v>
      </x:c>
      <x:c r="C190" s="76" t="str">
        <x:f>IFERROR(VLOOKUP(B190,EPP!$B$7:$D$64,2,FALSE),"")</x:f>
        <x:v>GUANTE KIM- NITRILO ARENADO T9</x:v>
      </x:c>
      <x:c r="D190" s="76" t="str">
        <x:f>IFERROR(VLOOKUP(B190,EPP!$B$7:$D$64,3,FALSE),"")</x:f>
        <x:v>Par</x:v>
      </x:c>
      <x:c r="E190" s="76" t="s">
        <x:v>146</x:v>
      </x:c>
      <x:c r="F190" s="76">
        <x:v>1</x:v>
      </x:c>
      <x:c r="G190" s="71"/>
    </x:row>
    <x:row r="191">
      <x:c r="A191" s="74">
        <x:v>46076</x:v>
      </x:c>
      <x:c r="B191" s="76" t="s">
        <x:v>27</x:v>
      </x:c>
      <x:c r="C191" s="76" t="str">
        <x:f>IFERROR(VLOOKUP(B191,EPP!$B$7:$D$64,2,FALSE),"")</x:f>
        <x:v>GAFAS LENTE OSCURO</x:v>
      </x:c>
      <x:c r="D191" s="76" t="str">
        <x:f>IFERROR(VLOOKUP(B191,EPP!$B$7:$D$64,3,FALSE),"")</x:f>
        <x:v>Unidad </x:v>
      </x:c>
      <x:c r="E191" s="76" t="s">
        <x:v>149</x:v>
      </x:c>
      <x:c r="F191" s="76">
        <x:v>1</x:v>
      </x:c>
      <x:c r="G191" s="71"/>
    </x:row>
    <x:row r="192">
      <x:c r="A192" s="74">
        <x:v>46076</x:v>
      </x:c>
      <x:c r="B192" s="76" t="s">
        <x:v>23</x:v>
      </x:c>
      <x:c r="C192" s="76" t="str">
        <x:f>IFERROR(VLOOKUP(B192,EPP!$B$7:$D$64,2,FALSE),"")</x:f>
        <x:v>CASCO ZAFARY</x:v>
      </x:c>
      <x:c r="D192" s="76" t="str">
        <x:f>IFERROR(VLOOKUP(B192,EPP!$B$7:$D$64,3,FALSE),"")</x:f>
        <x:v>Unidad </x:v>
      </x:c>
      <x:c r="E192" s="76" t="s">
        <x:v>143</x:v>
      </x:c>
      <x:c r="F192" s="76">
        <x:v>1</x:v>
      </x:c>
      <x:c r="G192" s="71"/>
    </x:row>
    <x:row r="193">
      <x:c r="A193" s="74">
        <x:v>46076</x:v>
      </x:c>
      <x:c r="B193" s="76" t="s">
        <x:v>23</x:v>
      </x:c>
      <x:c r="C193" s="76" t="str">
        <x:f>IFERROR(VLOOKUP(B193,EPP!$B$7:$D$64,2,FALSE),"")</x:f>
        <x:v>CASCO ZAFARY</x:v>
      </x:c>
      <x:c r="D193" s="76" t="str">
        <x:f>IFERROR(VLOOKUP(B193,EPP!$B$7:$D$64,3,FALSE),"")</x:f>
        <x:v>Unidad </x:v>
      </x:c>
      <x:c r="E193" s="76" t="s">
        <x:v>146</x:v>
      </x:c>
      <x:c r="F193" s="76">
        <x:v>1</x:v>
      </x:c>
      <x:c r="G193" s="71"/>
    </x:row>
    <x:row r="194">
      <x:c r="A194" s="74">
        <x:v>46077</x:v>
      </x:c>
      <x:c r="B194" s="76" t="s">
        <x:v>78</x:v>
      </x:c>
      <x:c r="C194" s="76" t="str">
        <x:f>IFERROR(VLOOKUP(B194,EPP!$B$7:$D$64,2,FALSE),"")</x:f>
        <x:v>GUANTE KIM- NITRILO ARENADO T9</x:v>
      </x:c>
      <x:c r="D194" s="76" t="str">
        <x:f>IFERROR(VLOOKUP(B194,EPP!$B$7:$D$64,3,FALSE),"")</x:f>
        <x:v>Par</x:v>
      </x:c>
      <x:c r="E194" s="76" t="s">
        <x:v>148</x:v>
      </x:c>
      <x:c r="F194" s="76">
        <x:v>1</x:v>
      </x:c>
      <x:c r="G194" s="71"/>
    </x:row>
    <x:row r="195">
      <x:c r="A195" s="74">
        <x:v>46077</x:v>
      </x:c>
      <x:c r="B195" s="76" t="s">
        <x:v>78</x:v>
      </x:c>
      <x:c r="C195" s="76" t="str">
        <x:f>IFERROR(VLOOKUP(B195,EPP!$B$7:$D$64,2,FALSE),"")</x:f>
        <x:v>GUANTE KIM- NITRILO ARENADO T9</x:v>
      </x:c>
      <x:c r="D195" s="76" t="str">
        <x:f>IFERROR(VLOOKUP(B195,EPP!$B$7:$D$64,3,FALSE),"")</x:f>
        <x:v>Par</x:v>
      </x:c>
      <x:c r="E195" s="76" t="s">
        <x:v>158</x:v>
      </x:c>
      <x:c r="F195" s="76">
        <x:v>1</x:v>
      </x:c>
      <x:c r="G195" s="71"/>
    </x:row>
    <x:row r="196">
      <x:c r="A196" s="74">
        <x:v>46077</x:v>
      </x:c>
      <x:c r="B196" s="76" t="s">
        <x:v>27</x:v>
      </x:c>
      <x:c r="C196" s="76" t="str">
        <x:f>IFERROR(VLOOKUP(B196,EPP!$B$7:$D$64,2,FALSE),"")</x:f>
        <x:v>GAFAS LENTE OSCURO</x:v>
      </x:c>
      <x:c r="D196" s="76" t="str">
        <x:f>IFERROR(VLOOKUP(B196,EPP!$B$7:$D$64,3,FALSE),"")</x:f>
        <x:v>Unidad </x:v>
      </x:c>
      <x:c r="E196" s="76" t="s">
        <x:v>158</x:v>
      </x:c>
      <x:c r="F196" s="76">
        <x:v>1</x:v>
      </x:c>
      <x:c r="G196" s="71"/>
    </x:row>
    <x:row r="197">
      <x:c r="A197" s="74">
        <x:v>46077</x:v>
      </x:c>
      <x:c r="B197" s="76" t="s">
        <x:v>23</x:v>
      </x:c>
      <x:c r="C197" s="76" t="str">
        <x:f>IFERROR(VLOOKUP(B197,EPP!$B$7:$D$64,2,FALSE),"")</x:f>
        <x:v>CASCO ZAFARY</x:v>
      </x:c>
      <x:c r="D197" s="76" t="str">
        <x:f>IFERROR(VLOOKUP(B197,EPP!$B$7:$D$64,3,FALSE),"")</x:f>
        <x:v>Unidad </x:v>
      </x:c>
      <x:c r="E197" s="76" t="s">
        <x:v>158</x:v>
      </x:c>
      <x:c r="F197" s="76">
        <x:v>1</x:v>
      </x:c>
      <x:c r="G197" s="71"/>
    </x:row>
    <x:row r="198">
      <x:c r="A198" s="74">
        <x:v>46078</x:v>
      </x:c>
      <x:c r="B198" s="76" t="s">
        <x:v>78</x:v>
      </x:c>
      <x:c r="C198" s="76" t="str">
        <x:f>IFERROR(VLOOKUP(B198,EPP!$B$7:$D$64,2,FALSE),"")</x:f>
        <x:v>GUANTE KIM- NITRILO ARENADO T9</x:v>
      </x:c>
      <x:c r="D198" s="76" t="str">
        <x:f>IFERROR(VLOOKUP(B198,EPP!$B$7:$D$64,3,FALSE),"")</x:f>
        <x:v>Par</x:v>
      </x:c>
      <x:c r="E198" s="76" t="s">
        <x:v>141</x:v>
      </x:c>
      <x:c r="F198" s="76">
        <x:v>1</x:v>
      </x:c>
      <x:c r="G198" s="71"/>
    </x:row>
    <x:row r="199">
      <x:c r="A199" s="74">
        <x:v>46078</x:v>
      </x:c>
      <x:c r="B199" s="76" t="s">
        <x:v>52</x:v>
      </x:c>
      <x:c r="C199" s="76" t="str">
        <x:f>IFERROR(VLOOKUP(B199,EPP!$B$7:$D$64,2,FALSE),"")</x:f>
        <x:v>GUANTES DE NITRILO TL</x:v>
      </x:c>
      <x:c r="D199" s="76" t="str">
        <x:f>IFERROR(VLOOKUP(B199,EPP!$B$7:$D$64,3,FALSE),"")</x:f>
        <x:v>Par</x:v>
      </x:c>
      <x:c r="E199" s="76" t="s">
        <x:v>161</x:v>
      </x:c>
      <x:c r="F199" s="76">
        <x:v>1</x:v>
      </x:c>
      <x:c r="G199" s="71"/>
    </x:row>
    <x:row r="200">
      <x:c r="A200" s="74">
        <x:v>46078</x:v>
      </x:c>
      <x:c r="B200" s="76" t="s">
        <x:v>23</x:v>
      </x:c>
      <x:c r="C200" s="76" t="str">
        <x:f>IFERROR(VLOOKUP(B200,EPP!$B$7:$D$64,2,FALSE),"")</x:f>
        <x:v>CASCO ZAFARY</x:v>
      </x:c>
      <x:c r="D200" s="76" t="str">
        <x:f>IFERROR(VLOOKUP(B200,EPP!$B$7:$D$64,3,FALSE),"")</x:f>
        <x:v>Unidad </x:v>
      </x:c>
      <x:c r="E200" s="76" t="s">
        <x:v>141</x:v>
      </x:c>
      <x:c r="F200" s="76">
        <x:v>1</x:v>
      </x:c>
      <x:c r="G200" s="71"/>
    </x:row>
    <x:row r="201">
      <x:c r="A201" s="74">
        <x:v>46082</x:v>
      </x:c>
      <x:c r="B201" s="76" t="s">
        <x:v>78</x:v>
      </x:c>
      <x:c r="C201" s="76" t="str">
        <x:f>IFERROR(VLOOKUP(B201,EPP!$B$7:$D$64,2,FALSE),"")</x:f>
        <x:v>GUANTE KIM- NITRILO ARENADO T9</x:v>
      </x:c>
      <x:c r="D201" s="76" t="str">
        <x:f>IFERROR(VLOOKUP(B201,EPP!$B$7:$D$64,3,FALSE),"")</x:f>
        <x:v>Par</x:v>
      </x:c>
      <x:c r="E201" s="76" t="s">
        <x:v>157</x:v>
      </x:c>
      <x:c r="F201" s="76">
        <x:v>1</x:v>
      </x:c>
      <x:c r="G201" s="71"/>
    </x:row>
    <x:row r="202">
      <x:c r="A202" s="74">
        <x:v>46083</x:v>
      </x:c>
      <x:c r="B202" s="76" t="s">
        <x:v>23</x:v>
      </x:c>
      <x:c r="C202" s="76" t="str">
        <x:f>IFERROR(VLOOKUP(B202,EPP!$B$7:$D$64,2,FALSE),"")</x:f>
        <x:v>CASCO ZAFARY</x:v>
      </x:c>
      <x:c r="D202" s="76" t="str">
        <x:f>IFERROR(VLOOKUP(B202,EPP!$B$7:$D$64,3,FALSE),"")</x:f>
        <x:v>Unidad </x:v>
      </x:c>
      <x:c r="E202" s="76" t="s">
        <x:v>150</x:v>
      </x:c>
      <x:c r="F202" s="76">
        <x:v>1</x:v>
      </x:c>
      <x:c r="G202" s="71"/>
    </x:row>
    <x:row r="203">
      <x:c r="A203" s="74">
        <x:v>46083</x:v>
      </x:c>
      <x:c r="B203" s="76" t="s">
        <x:v>23</x:v>
      </x:c>
      <x:c r="C203" s="76" t="str">
        <x:f>IFERROR(VLOOKUP(B203,EPP!$B$7:$D$64,2,FALSE),"")</x:f>
        <x:v>CASCO ZAFARY</x:v>
      </x:c>
      <x:c r="D203" s="76" t="str">
        <x:f>IFERROR(VLOOKUP(B203,EPP!$B$7:$D$64,3,FALSE),"")</x:f>
        <x:v>Unidad </x:v>
      </x:c>
      <x:c r="E203" s="76" t="s">
        <x:v>149</x:v>
      </x:c>
      <x:c r="F203" s="76">
        <x:v>1</x:v>
      </x:c>
      <x:c r="G203" s="71"/>
    </x:row>
    <x:row r="204">
      <x:c r="A204" s="74">
        <x:v>46083</x:v>
      </x:c>
      <x:c r="B204" s="76" t="s">
        <x:v>23</x:v>
      </x:c>
      <x:c r="C204" s="76" t="str">
        <x:f>IFERROR(VLOOKUP(B204,EPP!$B$7:$D$64,2,FALSE),"")</x:f>
        <x:v>CASCO ZAFARY</x:v>
      </x:c>
      <x:c r="D204" s="76" t="str">
        <x:f>IFERROR(VLOOKUP(B204,EPP!$B$7:$D$64,3,FALSE),"")</x:f>
        <x:v>Unidad </x:v>
      </x:c>
      <x:c r="E204" s="76" t="s">
        <x:v>154</x:v>
      </x:c>
      <x:c r="F204" s="76">
        <x:v>1</x:v>
      </x:c>
      <x:c r="G204" s="71"/>
    </x:row>
    <x:row r="205">
      <x:c r="A205" s="74">
        <x:v>46083</x:v>
      </x:c>
      <x:c r="B205" s="76" t="s">
        <x:v>78</x:v>
      </x:c>
      <x:c r="C205" s="76" t="str">
        <x:f>IFERROR(VLOOKUP(B205,EPP!$B$7:$D$64,2,FALSE),"")</x:f>
        <x:v>GUANTE KIM- NITRILO ARENADO T9</x:v>
      </x:c>
      <x:c r="D205" s="76" t="str">
        <x:f>IFERROR(VLOOKUP(B205,EPP!$B$7:$D$64,3,FALSE),"")</x:f>
        <x:v>Par</x:v>
      </x:c>
      <x:c r="E205" s="76" t="s">
        <x:v>156</x:v>
      </x:c>
      <x:c r="F205" s="76">
        <x:v>1</x:v>
      </x:c>
      <x:c r="G205" s="71"/>
    </x:row>
    <x:row r="206">
      <x:c r="A206" s="74">
        <x:v>46086</x:v>
      </x:c>
      <x:c r="B206" s="76" t="s">
        <x:v>50</x:v>
      </x:c>
      <x:c r="C206" s="76" t="str">
        <x:f>IFERROR(VLOOKUP(B206,EPP!$B$7:$D$64,2,FALSE),"")</x:f>
        <x:v>TAPABOCAS INDUSTRIAL NEGRO</x:v>
      </x:c>
      <x:c r="D206" s="76" t="str">
        <x:f>IFERROR(VLOOKUP(B206,EPP!$B$7:$D$64,3,FALSE),"")</x:f>
        <x:v>Unidad </x:v>
      </x:c>
      <x:c r="E206" s="76" t="s">
        <x:v>149</x:v>
      </x:c>
      <x:c r="F206" s="76">
        <x:v>1</x:v>
      </x:c>
      <x:c r="G206" s="71"/>
    </x:row>
    <x:row r="207">
      <x:c r="A207" s="74">
        <x:v>46086</x:v>
      </x:c>
      <x:c r="B207" s="76" t="s">
        <x:v>52</x:v>
      </x:c>
      <x:c r="C207" s="76" t="str">
        <x:f>IFERROR(VLOOKUP(B207,EPP!$B$7:$D$64,2,FALSE),"")</x:f>
        <x:v>GUANTES DE NITRILO TL</x:v>
      </x:c>
      <x:c r="D207" s="76" t="str">
        <x:f>IFERROR(VLOOKUP(B207,EPP!$B$7:$D$64,3,FALSE),"")</x:f>
        <x:v>Par</x:v>
      </x:c>
      <x:c r="E207" s="76" t="s">
        <x:v>162</x:v>
      </x:c>
      <x:c r="F207" s="76">
        <x:v>1</x:v>
      </x:c>
      <x:c r="G207" s="71"/>
    </x:row>
    <x:row r="208">
      <x:c r="A208" s="74">
        <x:v>46086</x:v>
      </x:c>
      <x:c r="B208" s="76" t="s">
        <x:v>29</x:v>
      </x:c>
      <x:c r="C208" s="76" t="str">
        <x:f>IFERROR(VLOOKUP(B208,EPP!$B$7:$D$64,2,FALSE),"")</x:f>
        <x:v>GAFAS LENTE CLARO</x:v>
      </x:c>
      <x:c r="D208" s="76" t="str">
        <x:f>IFERROR(VLOOKUP(B208,EPP!$B$7:$D$64,3,FALSE),"")</x:f>
        <x:v>Unidad </x:v>
      </x:c>
      <x:c r="E208" s="76" t="s">
        <x:v>170</x:v>
      </x:c>
      <x:c r="F208" s="76">
        <x:v>1</x:v>
      </x:c>
      <x:c r="G208" s="71"/>
    </x:row>
    <x:row r="209">
      <x:c r="A209" s="74">
        <x:v>46087</x:v>
      </x:c>
      <x:c r="B209" s="76" t="s">
        <x:v>52</x:v>
      </x:c>
      <x:c r="C209" s="76" t="str">
        <x:f>IFERROR(VLOOKUP(B209,EPP!$B$7:$D$64,2,FALSE),"")</x:f>
        <x:v>GUANTES DE NITRILO TL</x:v>
      </x:c>
      <x:c r="D209" s="76" t="str">
        <x:f>IFERROR(VLOOKUP(B209,EPP!$B$7:$D$64,3,FALSE),"")</x:f>
        <x:v>Par</x:v>
      </x:c>
      <x:c r="E209" s="76" t="s">
        <x:v>161</x:v>
      </x:c>
      <x:c r="F209" s="76">
        <x:v>1</x:v>
      </x:c>
      <x:c r="G209" s="71"/>
    </x:row>
    <x:row r="210">
      <x:c r="A210" s="74">
        <x:v>46087</x:v>
      </x:c>
      <x:c r="B210" s="76" t="s">
        <x:v>52</x:v>
      </x:c>
      <x:c r="C210" s="76" t="str">
        <x:f>IFERROR(VLOOKUP(B210,EPP!$B$7:$D$64,2,FALSE),"")</x:f>
        <x:v>GUANTES DE NITRILO TL</x:v>
      </x:c>
      <x:c r="D210" s="76" t="str">
        <x:f>IFERROR(VLOOKUP(B210,EPP!$B$7:$D$64,3,FALSE),"")</x:f>
        <x:v>Par</x:v>
      </x:c>
      <x:c r="E210" s="76" t="s">
        <x:v>150</x:v>
      </x:c>
      <x:c r="F210" s="76">
        <x:v>1</x:v>
      </x:c>
      <x:c r="G210" s="71"/>
    </x:row>
    <x:row r="211">
      <x:c r="A211" s="74">
        <x:v>46087</x:v>
      </x:c>
      <x:c r="B211" s="76" t="s">
        <x:v>52</x:v>
      </x:c>
      <x:c r="C211" s="76" t="str">
        <x:f>IFERROR(VLOOKUP(B211,EPP!$B$7:$D$64,2,FALSE),"")</x:f>
        <x:v>GUANTES DE NITRILO TL</x:v>
      </x:c>
      <x:c r="D211" s="76" t="str">
        <x:f>IFERROR(VLOOKUP(B211,EPP!$B$7:$D$64,3,FALSE),"")</x:f>
        <x:v>Par</x:v>
      </x:c>
      <x:c r="E211" s="76" t="s">
        <x:v>151</x:v>
      </x:c>
      <x:c r="F211" s="76">
        <x:v>1</x:v>
      </x:c>
      <x:c r="G211" s="71"/>
    </x:row>
    <x:row r="212">
      <x:c r="A212" s="74">
        <x:v>46087</x:v>
      </x:c>
      <x:c r="B212" s="76" t="s">
        <x:v>52</x:v>
      </x:c>
      <x:c r="C212" s="76" t="str">
        <x:f>IFERROR(VLOOKUP(B212,EPP!$B$7:$D$64,2,FALSE),"")</x:f>
        <x:v>GUANTES DE NITRILO TL</x:v>
      </x:c>
      <x:c r="D212" s="76" t="str">
        <x:f>IFERROR(VLOOKUP(B212,EPP!$B$7:$D$64,3,FALSE),"")</x:f>
        <x:v>Par</x:v>
      </x:c>
      <x:c r="E212" s="76" t="s">
        <x:v>162</x:v>
      </x:c>
      <x:c r="F212" s="76">
        <x:v>1</x:v>
      </x:c>
      <x:c r="G212" s="71"/>
    </x:row>
    <x:row r="213">
      <x:c r="A213" s="74">
        <x:v>46088</x:v>
      </x:c>
      <x:c r="B213" s="76" t="s">
        <x:v>52</x:v>
      </x:c>
      <x:c r="C213" s="76" t="str">
        <x:f>IFERROR(VLOOKUP(B213,EPP!$B$7:$D$64,2,FALSE),"")</x:f>
        <x:v>GUANTES DE NITRILO TL</x:v>
      </x:c>
      <x:c r="D213" s="76" t="str">
        <x:f>IFERROR(VLOOKUP(B213,EPP!$B$7:$D$64,3,FALSE),"")</x:f>
        <x:v>Par</x:v>
      </x:c>
      <x:c r="E213" s="76" t="s">
        <x:v>170</x:v>
      </x:c>
      <x:c r="F213" s="76">
        <x:v>1</x:v>
      </x:c>
      <x:c r="G213" s="71"/>
    </x:row>
    <x:row r="214">
      <x:c r="A214" s="74">
        <x:v>46090</x:v>
      </x:c>
      <x:c r="B214" s="76" t="s">
        <x:v>52</x:v>
      </x:c>
      <x:c r="C214" s="76" t="str">
        <x:f>IFERROR(VLOOKUP(B214,EPP!$B$7:$D$64,2,FALSE),"")</x:f>
        <x:v>GUANTES DE NITRILO TL</x:v>
      </x:c>
      <x:c r="D214" s="76" t="str">
        <x:f>IFERROR(VLOOKUP(B214,EPP!$B$7:$D$64,3,FALSE),"")</x:f>
        <x:v>Par</x:v>
      </x:c>
      <x:c r="E214" s="76" t="s">
        <x:v>161</x:v>
      </x:c>
      <x:c r="F214" s="76">
        <x:v>1</x:v>
      </x:c>
      <x:c r="G214" s="71"/>
    </x:row>
    <x:row r="215">
      <x:c r="A215" s="74">
        <x:v>46091</x:v>
      </x:c>
      <x:c r="B215" s="76" t="s">
        <x:v>52</x:v>
      </x:c>
      <x:c r="C215" s="76" t="str">
        <x:f>IFERROR(VLOOKUP(B215,EPP!$B$7:$D$64,2,FALSE),"")</x:f>
        <x:v>GUANTES DE NITRILO TL</x:v>
      </x:c>
      <x:c r="D215" s="76" t="str">
        <x:f>IFERROR(VLOOKUP(B215,EPP!$B$7:$D$64,3,FALSE),"")</x:f>
        <x:v>Par</x:v>
      </x:c>
      <x:c r="E215" s="76" t="s">
        <x:v>150</x:v>
      </x:c>
      <x:c r="F215" s="76">
        <x:v>1</x:v>
      </x:c>
      <x:c r="G215" s="71"/>
    </x:row>
    <x:row r="216">
      <x:c r="A216" s="74">
        <x:v>46091</x:v>
      </x:c>
      <x:c r="B216" s="76" t="s">
        <x:v>52</x:v>
      </x:c>
      <x:c r="C216" s="76" t="str">
        <x:f>IFERROR(VLOOKUP(B216,EPP!$B$7:$D$64,2,FALSE),"")</x:f>
        <x:v>GUANTES DE NITRILO TL</x:v>
      </x:c>
      <x:c r="D216" s="76" t="str">
        <x:f>IFERROR(VLOOKUP(B216,EPP!$B$7:$D$64,3,FALSE),"")</x:f>
        <x:v>Par</x:v>
      </x:c>
      <x:c r="E216" s="76" t="s">
        <x:v>151</x:v>
      </x:c>
      <x:c r="F216" s="76">
        <x:v>1</x:v>
      </x:c>
      <x:c r="G216" s="71"/>
    </x:row>
    <x:row r="217">
      <x:c r="A217" s="74">
        <x:v>46091</x:v>
      </x:c>
      <x:c r="B217" s="76" t="s">
        <x:v>52</x:v>
      </x:c>
      <x:c r="C217" s="76" t="str">
        <x:f>IFERROR(VLOOKUP(B217,EPP!$B$7:$D$64,2,FALSE),"")</x:f>
        <x:v>GUANTES DE NITRILO TL</x:v>
      </x:c>
      <x:c r="D217" s="76" t="str">
        <x:f>IFERROR(VLOOKUP(B217,EPP!$B$7:$D$64,3,FALSE),"")</x:f>
        <x:v>Par</x:v>
      </x:c>
      <x:c r="E217" s="76" t="s">
        <x:v>150</x:v>
      </x:c>
      <x:c r="F217" s="76">
        <x:v>1</x:v>
      </x:c>
      <x:c r="G217" s="71"/>
    </x:row>
    <x:row r="218">
      <x:c r="A218" s="74">
        <x:v>46091</x:v>
      </x:c>
      <x:c r="B218" s="76" t="s">
        <x:v>52</x:v>
      </x:c>
      <x:c r="C218" s="76" t="str">
        <x:f>IFERROR(VLOOKUP(B218,EPP!$B$7:$D$64,2,FALSE),"")</x:f>
        <x:v>GUANTES DE NITRILO TL</x:v>
      </x:c>
      <x:c r="D218" s="76" t="str">
        <x:f>IFERROR(VLOOKUP(B218,EPP!$B$7:$D$64,3,FALSE),"")</x:f>
        <x:v>Par</x:v>
      </x:c>
      <x:c r="E218" s="76" t="s">
        <x:v>161</x:v>
      </x:c>
      <x:c r="F218" s="76">
        <x:v>1</x:v>
      </x:c>
      <x:c r="G218" s="71"/>
    </x:row>
    <x:row r="219">
      <x:c r="A219" s="74">
        <x:v>46092</x:v>
      </x:c>
      <x:c r="B219" s="76" t="s">
        <x:v>52</x:v>
      </x:c>
      <x:c r="C219" s="76" t="str">
        <x:f>IFERROR(VLOOKUP(B219,EPP!$B$7:$D$64,2,FALSE),"")</x:f>
        <x:v>GUANTES DE NITRILO TL</x:v>
      </x:c>
      <x:c r="D219" s="76" t="str">
        <x:f>IFERROR(VLOOKUP(B219,EPP!$B$7:$D$64,3,FALSE),"")</x:f>
        <x:v>Par</x:v>
      </x:c>
      <x:c r="E219" s="76" t="s">
        <x:v>161</x:v>
      </x:c>
      <x:c r="F219" s="76">
        <x:v>1</x:v>
      </x:c>
      <x:c r="G219" s="71"/>
    </x:row>
    <x:row r="220">
      <x:c r="A220" s="74">
        <x:v>46093</x:v>
      </x:c>
      <x:c r="B220" s="76" t="s">
        <x:v>52</x:v>
      </x:c>
      <x:c r="C220" s="76" t="str">
        <x:f>IFERROR(VLOOKUP(B220,EPP!$B$7:$D$64,2,FALSE),"")</x:f>
        <x:v>GUANTES DE NITRILO TL</x:v>
      </x:c>
      <x:c r="D220" s="76" t="str">
        <x:f>IFERROR(VLOOKUP(B220,EPP!$B$7:$D$64,3,FALSE),"")</x:f>
        <x:v>Par</x:v>
      </x:c>
      <x:c r="E220" s="76" t="s">
        <x:v>161</x:v>
      </x:c>
      <x:c r="F220" s="76">
        <x:v>1</x:v>
      </x:c>
      <x:c r="G220" s="71"/>
    </x:row>
    <x:row r="221">
      <x:c r="A221" s="74">
        <x:v>46093</x:v>
      </x:c>
      <x:c r="B221" s="76" t="s">
        <x:v>52</x:v>
      </x:c>
      <x:c r="C221" s="76" t="str">
        <x:f>IFERROR(VLOOKUP(B221,EPP!$B$7:$D$64,2,FALSE),"")</x:f>
        <x:v>GUANTES DE NITRILO TL</x:v>
      </x:c>
      <x:c r="D221" s="76" t="str">
        <x:f>IFERROR(VLOOKUP(B221,EPP!$B$7:$D$64,3,FALSE),"")</x:f>
        <x:v>Par</x:v>
      </x:c>
      <x:c r="E221" s="76" t="s">
        <x:v>151</x:v>
      </x:c>
      <x:c r="F221" s="76">
        <x:v>1</x:v>
      </x:c>
      <x:c r="G221" s="71"/>
    </x:row>
    <x:row r="222">
      <x:c r="A222" s="74">
        <x:v>46093</x:v>
      </x:c>
      <x:c r="B222" s="76" t="s">
        <x:v>52</x:v>
      </x:c>
      <x:c r="C222" s="76" t="str">
        <x:f>IFERROR(VLOOKUP(B222,EPP!$B$7:$D$64,2,FALSE),"")</x:f>
        <x:v>GUANTES DE NITRILO TL</x:v>
      </x:c>
      <x:c r="D222" s="76" t="str">
        <x:f>IFERROR(VLOOKUP(B222,EPP!$B$7:$D$64,3,FALSE),"")</x:f>
        <x:v>Par</x:v>
      </x:c>
      <x:c r="E222" s="76" t="s">
        <x:v>150</x:v>
      </x:c>
      <x:c r="F222" s="76">
        <x:v>1</x:v>
      </x:c>
      <x:c r="G222" s="71"/>
    </x:row>
    <x:row r="223">
      <x:c r="A223" s="74">
        <x:v>46093</x:v>
      </x:c>
      <x:c r="B223" s="76" t="s">
        <x:v>29</x:v>
      </x:c>
      <x:c r="C223" s="76" t="str">
        <x:f>IFERROR(VLOOKUP(B223,EPP!$B$7:$D$64,2,FALSE),"")</x:f>
        <x:v>GAFAS LENTE CLARO</x:v>
      </x:c>
      <x:c r="D223" s="76" t="str">
        <x:f>IFERROR(VLOOKUP(B223,EPP!$B$7:$D$64,3,FALSE),"")</x:f>
        <x:v>Unidad </x:v>
      </x:c>
      <x:c r="E223" s="76" t="s">
        <x:v>151</x:v>
      </x:c>
      <x:c r="F223" s="76">
        <x:v>1</x:v>
      </x:c>
      <x:c r="G223" s="71"/>
    </x:row>
    <x:row r="224">
      <x:c r="A224" s="74">
        <x:v>46093</x:v>
      </x:c>
      <x:c r="B224" s="76" t="s">
        <x:v>78</x:v>
      </x:c>
      <x:c r="C224" s="76" t="str">
        <x:f>IFERROR(VLOOKUP(B224,EPP!$B$7:$D$64,2,FALSE),"")</x:f>
        <x:v>GUANTE KIM- NITRILO ARENADO T9</x:v>
      </x:c>
      <x:c r="D224" s="76" t="str">
        <x:f>IFERROR(VLOOKUP(B224,EPP!$B$7:$D$64,3,FALSE),"")</x:f>
        <x:v>Par</x:v>
      </x:c>
      <x:c r="E224" s="76" t="s">
        <x:v>151</x:v>
      </x:c>
      <x:c r="F224" s="76">
        <x:v>1</x:v>
      </x:c>
      <x:c r="G224" s="71"/>
    </x:row>
    <x:row r="225">
      <x:c r="A225" s="74">
        <x:v>46094</x:v>
      </x:c>
      <x:c r="B225" s="76" t="s">
        <x:v>52</x:v>
      </x:c>
      <x:c r="C225" s="76" t="str">
        <x:f>IFERROR(VLOOKUP(B225,EPP!$B$7:$D$64,2,FALSE),"")</x:f>
        <x:v>GUANTES DE NITRILO TL</x:v>
      </x:c>
      <x:c r="D225" s="76" t="str">
        <x:f>IFERROR(VLOOKUP(B225,EPP!$B$7:$D$64,3,FALSE),"")</x:f>
        <x:v>Par</x:v>
      </x:c>
      <x:c r="E225" s="76" t="s">
        <x:v>161</x:v>
      </x:c>
      <x:c r="F225" s="76">
        <x:v>1</x:v>
      </x:c>
      <x:c r="G225" s="71"/>
    </x:row>
    <x:row r="226">
      <x:c r="A226" s="74">
        <x:v>46095</x:v>
      </x:c>
      <x:c r="B226" s="76" t="s">
        <x:v>52</x:v>
      </x:c>
      <x:c r="C226" s="76" t="str">
        <x:f>IFERROR(VLOOKUP(B226,EPP!$B$7:$D$64,2,FALSE),"")</x:f>
        <x:v>GUANTES DE NITRILO TL</x:v>
      </x:c>
      <x:c r="D226" s="76" t="str">
        <x:f>IFERROR(VLOOKUP(B226,EPP!$B$7:$D$64,3,FALSE),"")</x:f>
        <x:v>Par</x:v>
      </x:c>
      <x:c r="E226" s="76" t="s">
        <x:v>161</x:v>
      </x:c>
      <x:c r="F226" s="76">
        <x:v>1</x:v>
      </x:c>
      <x:c r="G226" s="71"/>
    </x:row>
    <x:row r="227">
      <x:c r="A227" s="74">
        <x:v>46096</x:v>
      </x:c>
      <x:c r="B227" s="76" t="s">
        <x:v>52</x:v>
      </x:c>
      <x:c r="C227" s="76" t="str">
        <x:f>IFERROR(VLOOKUP(B227,EPP!$B$7:$D$64,2,FALSE),"")</x:f>
        <x:v>GUANTES DE NITRILO TL</x:v>
      </x:c>
      <x:c r="D227" s="76" t="str">
        <x:f>IFERROR(VLOOKUP(B227,EPP!$B$7:$D$64,3,FALSE),"")</x:f>
        <x:v>Par</x:v>
      </x:c>
      <x:c r="E227" s="76" t="s">
        <x:v>161</x:v>
      </x:c>
      <x:c r="F227" s="76">
        <x:v>1</x:v>
      </x:c>
      <x:c r="G227" s="71"/>
    </x:row>
    <x:row r="228">
      <x:c r="A228" s="74">
        <x:v>46096</x:v>
      </x:c>
      <x:c r="B228" s="76" t="s">
        <x:v>52</x:v>
      </x:c>
      <x:c r="C228" s="76" t="str">
        <x:f>IFERROR(VLOOKUP(B228,EPP!$B$7:$D$64,2,FALSE),"")</x:f>
        <x:v>GUANTES DE NITRILO TL</x:v>
      </x:c>
      <x:c r="D228" s="76" t="str">
        <x:f>IFERROR(VLOOKUP(B228,EPP!$B$7:$D$64,3,FALSE),"")</x:f>
        <x:v>Par</x:v>
      </x:c>
      <x:c r="E228" s="76" t="s">
        <x:v>161</x:v>
      </x:c>
      <x:c r="F228" s="76">
        <x:v>1</x:v>
      </x:c>
      <x:c r="G228" s="71"/>
    </x:row>
    <x:row r="229">
      <x:c r="A229" s="74">
        <x:v>46097</x:v>
      </x:c>
      <x:c r="B229" s="76" t="s">
        <x:v>78</x:v>
      </x:c>
      <x:c r="C229" s="76" t="str">
        <x:f>IFERROR(VLOOKUP(B229,EPP!$B$7:$D$64,2,FALSE),"")</x:f>
        <x:v>GUANTE KIM- NITRILO ARENADO T9</x:v>
      </x:c>
      <x:c r="D229" s="76" t="str">
        <x:f>IFERROR(VLOOKUP(B229,EPP!$B$7:$D$64,3,FALSE),"")</x:f>
        <x:v>Par</x:v>
      </x:c>
      <x:c r="E229" s="76" t="s">
        <x:v>158</x:v>
      </x:c>
      <x:c r="F229" s="76">
        <x:v>1</x:v>
      </x:c>
      <x:c r="G229" s="71"/>
    </x:row>
    <x:row r="230">
      <x:c r="A230" s="74">
        <x:v>46097</x:v>
      </x:c>
      <x:c r="B230" s="76" t="s">
        <x:v>52</x:v>
      </x:c>
      <x:c r="C230" s="76" t="str">
        <x:f>IFERROR(VLOOKUP(B230,EPP!$B$7:$D$64,2,FALSE),"")</x:f>
        <x:v>GUANTES DE NITRILO TL</x:v>
      </x:c>
      <x:c r="D230" s="76" t="str">
        <x:f>IFERROR(VLOOKUP(B230,EPP!$B$7:$D$64,3,FALSE),"")</x:f>
        <x:v>Par</x:v>
      </x:c>
      <x:c r="E230" s="76" t="s">
        <x:v>161</x:v>
      </x:c>
      <x:c r="F230" s="76">
        <x:v>1</x:v>
      </x:c>
      <x:c r="G230" s="71"/>
    </x:row>
    <x:row r="231">
      <x:c r="A231" s="74">
        <x:v>46097</x:v>
      </x:c>
      <x:c r="B231" s="76" t="s">
        <x:v>78</x:v>
      </x:c>
      <x:c r="C231" s="76" t="str">
        <x:f>IFERROR(VLOOKUP(B231,EPP!$B$7:$D$64,2,FALSE),"")</x:f>
        <x:v>GUANTE KIM- NITRILO ARENADO T9</x:v>
      </x:c>
      <x:c r="D231" s="76" t="str">
        <x:f>IFERROR(VLOOKUP(B231,EPP!$B$7:$D$64,3,FALSE),"")</x:f>
        <x:v>Par</x:v>
      </x:c>
      <x:c r="E231" s="76" t="s">
        <x:v>172</x:v>
      </x:c>
      <x:c r="F231" s="76">
        <x:v>1</x:v>
      </x:c>
      <x:c r="G231" s="71"/>
    </x:row>
    <x:row r="232">
      <x:c r="A232" s="74">
        <x:v>46097</x:v>
      </x:c>
      <x:c r="B232" s="76" t="s">
        <x:v>78</x:v>
      </x:c>
      <x:c r="C232" s="76" t="str">
        <x:f>IFERROR(VLOOKUP(B232,EPP!$B$7:$D$64,2,FALSE),"")</x:f>
        <x:v>GUANTE KIM- NITRILO ARENADO T9</x:v>
      </x:c>
      <x:c r="D232" s="76" t="str">
        <x:f>IFERROR(VLOOKUP(B232,EPP!$B$7:$D$64,3,FALSE),"")</x:f>
        <x:v>Par</x:v>
      </x:c>
      <x:c r="E232" s="76" t="s">
        <x:v>147</x:v>
      </x:c>
      <x:c r="F232" s="76">
        <x:v>1</x:v>
      </x:c>
      <x:c r="G232" s="71"/>
    </x:row>
    <x:row r="233">
      <x:c r="A233" s="74">
        <x:v>46098</x:v>
      </x:c>
      <x:c r="B233" s="76" t="s">
        <x:v>78</x:v>
      </x:c>
      <x:c r="C233" s="76" t="str">
        <x:f>IFERROR(VLOOKUP(B233,EPP!$B$7:$D$64,2,FALSE),"")</x:f>
        <x:v>GUANTE KIM- NITRILO ARENADO T9</x:v>
      </x:c>
      <x:c r="D233" s="76" t="str">
        <x:f>IFERROR(VLOOKUP(B233,EPP!$B$7:$D$64,3,FALSE),"")</x:f>
        <x:v>Par</x:v>
      </x:c>
      <x:c r="E233" s="76" t="s">
        <x:v>142</x:v>
      </x:c>
      <x:c r="F233" s="76">
        <x:v>1</x:v>
      </x:c>
      <x:c r="G233" s="71"/>
    </x:row>
    <x:row r="234">
      <x:c r="A234" s="74">
        <x:v>46098</x:v>
      </x:c>
      <x:c r="B234" s="76" t="s">
        <x:v>52</x:v>
      </x:c>
      <x:c r="C234" s="76" t="str">
        <x:f>IFERROR(VLOOKUP(B234,EPP!$B$7:$D$64,2,FALSE),"")</x:f>
        <x:v>GUANTES DE NITRILO TL</x:v>
      </x:c>
      <x:c r="D234" s="76" t="str">
        <x:f>IFERROR(VLOOKUP(B234,EPP!$B$7:$D$64,3,FALSE),"")</x:f>
        <x:v>Par</x:v>
      </x:c>
      <x:c r="E234" s="76" t="s">
        <x:v>150</x:v>
      </x:c>
      <x:c r="F234" s="76">
        <x:v>1</x:v>
      </x:c>
      <x:c r="G234" s="71"/>
    </x:row>
    <x:row r="235">
      <x:c r="A235" s="74">
        <x:v>46098</x:v>
      </x:c>
      <x:c r="B235" s="76" t="s">
        <x:v>52</x:v>
      </x:c>
      <x:c r="C235" s="76" t="str">
        <x:f>IFERROR(VLOOKUP(B235,EPP!$B$7:$D$64,2,FALSE),"")</x:f>
        <x:v>GUANTES DE NITRILO TL</x:v>
      </x:c>
      <x:c r="D235" s="76" t="str">
        <x:f>IFERROR(VLOOKUP(B235,EPP!$B$7:$D$64,3,FALSE),"")</x:f>
        <x:v>Par</x:v>
      </x:c>
      <x:c r="E235" s="76" t="s">
        <x:v>161</x:v>
      </x:c>
      <x:c r="F235" s="76">
        <x:v>1</x:v>
      </x:c>
      <x:c r="G235" s="71"/>
    </x:row>
    <x:row r="236">
      <x:c r="A236" s="74">
        <x:v>46098</x:v>
      </x:c>
      <x:c r="B236" s="76" t="s">
        <x:v>52</x:v>
      </x:c>
      <x:c r="C236" s="76" t="str">
        <x:f>IFERROR(VLOOKUP(B236,EPP!$B$7:$D$64,2,FALSE),"")</x:f>
        <x:v>GUANTES DE NITRILO TL</x:v>
      </x:c>
      <x:c r="D236" s="76" t="str">
        <x:f>IFERROR(VLOOKUP(B236,EPP!$B$7:$D$64,3,FALSE),"")</x:f>
        <x:v>Par</x:v>
      </x:c>
      <x:c r="E236" s="76" t="s">
        <x:v>142</x:v>
      </x:c>
      <x:c r="F236" s="76">
        <x:v>1</x:v>
      </x:c>
      <x:c r="G236" s="71"/>
    </x:row>
    <x:row r="237">
      <x:c r="A237" s="74">
        <x:v>46099</x:v>
      </x:c>
      <x:c r="B237" s="76" t="s">
        <x:v>52</x:v>
      </x:c>
      <x:c r="C237" s="76" t="str">
        <x:f>IFERROR(VLOOKUP(B237,EPP!$B$7:$D$64,2,FALSE),"")</x:f>
        <x:v>GUANTES DE NITRILO TL</x:v>
      </x:c>
      <x:c r="D237" s="76" t="str">
        <x:f>IFERROR(VLOOKUP(B237,EPP!$B$7:$D$64,3,FALSE),"")</x:f>
        <x:v>Par</x:v>
      </x:c>
      <x:c r="E237" s="76" t="s">
        <x:v>173</x:v>
      </x:c>
      <x:c r="F237" s="76">
        <x:v>1</x:v>
      </x:c>
      <x:c r="G237" s="71"/>
    </x:row>
    <x:row r="238">
      <x:c r="A238" s="74">
        <x:v>46099</x:v>
      </x:c>
      <x:c r="B238" s="76" t="s">
        <x:v>78</x:v>
      </x:c>
      <x:c r="C238" s="76" t="str">
        <x:f>IFERROR(VLOOKUP(B238,EPP!$B$7:$D$64,2,FALSE),"")</x:f>
        <x:v>GUANTE KIM- NITRILO ARENADO T9</x:v>
      </x:c>
      <x:c r="D238" s="76" t="str">
        <x:f>IFERROR(VLOOKUP(B238,EPP!$B$7:$D$64,3,FALSE),"")</x:f>
        <x:v>Par</x:v>
      </x:c>
      <x:c r="E238" s="76" t="s">
        <x:v>173</x:v>
      </x:c>
      <x:c r="F238" s="76">
        <x:v>1</x:v>
      </x:c>
      <x:c r="G238" s="71"/>
    </x:row>
    <x:row r="239">
      <x:c r="A239" s="74">
        <x:v>46099</x:v>
      </x:c>
      <x:c r="B239" s="76" t="s">
        <x:v>52</x:v>
      </x:c>
      <x:c r="C239" s="76" t="str">
        <x:f>IFERROR(VLOOKUP(B239,EPP!$B$7:$D$64,2,FALSE),"")</x:f>
        <x:v>GUANTES DE NITRILO TL</x:v>
      </x:c>
      <x:c r="D239" s="76" t="str">
        <x:f>IFERROR(VLOOKUP(B239,EPP!$B$7:$D$64,3,FALSE),"")</x:f>
        <x:v>Par</x:v>
      </x:c>
      <x:c r="E239" s="76" t="s">
        <x:v>161</x:v>
      </x:c>
      <x:c r="F239" s="76">
        <x:v>1</x:v>
      </x:c>
      <x:c r="G239" s="71"/>
    </x:row>
    <x:row r="240">
      <x:c r="A240" s="74">
        <x:v>46100</x:v>
      </x:c>
      <x:c r="B240" s="76" t="s">
        <x:v>78</x:v>
      </x:c>
      <x:c r="C240" s="76" t="str">
        <x:f>IFERROR(VLOOKUP(B240,EPP!$B$7:$D$64,2,FALSE),"")</x:f>
        <x:v>GUANTE KIM- NITRILO ARENADO T9</x:v>
      </x:c>
      <x:c r="D240" s="76" t="str">
        <x:f>IFERROR(VLOOKUP(B240,EPP!$B$7:$D$64,3,FALSE),"")</x:f>
        <x:v>Par</x:v>
      </x:c>
      <x:c r="E240" s="76" t="s">
        <x:v>141</x:v>
      </x:c>
      <x:c r="F240" s="76">
        <x:v>1</x:v>
      </x:c>
      <x:c r="G240" s="71"/>
    </x:row>
    <x:row r="241">
      <x:c r="A241" s="74">
        <x:v>46100</x:v>
      </x:c>
      <x:c r="B241" s="76" t="s">
        <x:v>52</x:v>
      </x:c>
      <x:c r="C241" s="76" t="str">
        <x:f>IFERROR(VLOOKUP(B241,EPP!$B$7:$D$64,2,FALSE),"")</x:f>
        <x:v>GUANTES DE NITRILO TL</x:v>
      </x:c>
      <x:c r="D241" s="76" t="str">
        <x:f>IFERROR(VLOOKUP(B241,EPP!$B$7:$D$64,3,FALSE),"")</x:f>
        <x:v>Par</x:v>
      </x:c>
      <x:c r="E241" s="76" t="s">
        <x:v>161</x:v>
      </x:c>
      <x:c r="F241" s="76">
        <x:v>1</x:v>
      </x:c>
      <x:c r="G241" s="71"/>
    </x:row>
    <x:row r="242">
      <x:c r="A242" s="74">
        <x:v>46100</x:v>
      </x:c>
      <x:c r="B242" s="76" t="s">
        <x:v>46</x:v>
      </x:c>
      <x:c r="C242" s="76" t="str">
        <x:f>IFERROR(VLOOKUP(B242,EPP!$B$7:$D$64,2,FALSE),"")</x:f>
        <x:v>RESPIRADOR KN95</x:v>
      </x:c>
      <x:c r="D242" s="76" t="str">
        <x:f>IFERROR(VLOOKUP(B242,EPP!$B$7:$D$64,3,FALSE),"")</x:f>
        <x:v>Unidad </x:v>
      </x:c>
      <x:c r="E242" s="76" t="s">
        <x:v>163</x:v>
      </x:c>
      <x:c r="F242" s="76">
        <x:v>1</x:v>
      </x:c>
      <x:c r="G242" s="71"/>
    </x:row>
    <x:row r="243">
      <x:c r="A243" s="74">
        <x:v>46101</x:v>
      </x:c>
      <x:c r="B243" s="76" t="s">
        <x:v>52</x:v>
      </x:c>
      <x:c r="C243" s="76" t="str">
        <x:f>IFERROR(VLOOKUP(B243,EPP!$B$7:$D$64,2,FALSE),"")</x:f>
        <x:v>GUANTES DE NITRILO TL</x:v>
      </x:c>
      <x:c r="D243" s="76" t="str">
        <x:f>IFERROR(VLOOKUP(B243,EPP!$B$7:$D$64,3,FALSE),"")</x:f>
        <x:v>Par</x:v>
      </x:c>
      <x:c r="E243" s="76" t="s">
        <x:v>161</x:v>
      </x:c>
      <x:c r="F243" s="76">
        <x:v>1</x:v>
      </x:c>
      <x:c r="G243" s="71"/>
    </x:row>
    <x:row r="244">
      <x:c r="A244" s="74">
        <x:v>46102</x:v>
      </x:c>
      <x:c r="B244" s="76" t="s">
        <x:v>52</x:v>
      </x:c>
      <x:c r="C244" s="76" t="str">
        <x:f>IFERROR(VLOOKUP(B244,EPP!$B$7:$D$64,2,FALSE),"")</x:f>
        <x:v>GUANTES DE NITRILO TL</x:v>
      </x:c>
      <x:c r="D244" s="76" t="str">
        <x:f>IFERROR(VLOOKUP(B244,EPP!$B$7:$D$64,3,FALSE),"")</x:f>
        <x:v>Par</x:v>
      </x:c>
      <x:c r="E244" s="76" t="s">
        <x:v>161</x:v>
      </x:c>
      <x:c r="F244" s="76">
        <x:v>1</x:v>
      </x:c>
      <x:c r="G244" s="71"/>
    </x:row>
    <x:row r="245">
      <x:c r="A245" s="74">
        <x:v>46103</x:v>
      </x:c>
      <x:c r="B245" s="76" t="s">
        <x:v>52</x:v>
      </x:c>
      <x:c r="C245" s="76" t="str">
        <x:f>IFERROR(VLOOKUP(B245,EPP!$B$7:$D$64,2,FALSE),"")</x:f>
        <x:v>GUANTES DE NITRILO TL</x:v>
      </x:c>
      <x:c r="D245" s="76" t="str">
        <x:f>IFERROR(VLOOKUP(B245,EPP!$B$7:$D$64,3,FALSE),"")</x:f>
        <x:v>Par</x:v>
      </x:c>
      <x:c r="E245" s="76" t="s">
        <x:v>154</x:v>
      </x:c>
      <x:c r="F245" s="76">
        <x:v>1</x:v>
      </x:c>
      <x:c r="G245" s="71"/>
    </x:row>
    <x:row r="246">
      <x:c r="A246" s="74">
        <x:v>46103</x:v>
      </x:c>
      <x:c r="B246" s="76" t="s">
        <x:v>78</x:v>
      </x:c>
      <x:c r="C246" s="76" t="str">
        <x:f>IFERROR(VLOOKUP(B246,EPP!$B$7:$D$64,2,FALSE),"")</x:f>
        <x:v>GUANTE KIM- NITRILO ARENADO T9</x:v>
      </x:c>
      <x:c r="D246" s="76" t="str">
        <x:f>IFERROR(VLOOKUP(B246,EPP!$B$7:$D$64,3,FALSE),"")</x:f>
        <x:v>Par</x:v>
      </x:c>
      <x:c r="E246" s="76" t="s">
        <x:v>154</x:v>
      </x:c>
      <x:c r="F246" s="76">
        <x:v>1</x:v>
      </x:c>
      <x:c r="G246" s="71"/>
    </x:row>
    <x:row r="247">
      <x:c r="A247" s="74">
        <x:v>46103</x:v>
      </x:c>
      <x:c r="B247" s="76" t="s">
        <x:v>52</x:v>
      </x:c>
      <x:c r="C247" s="76" t="str">
        <x:f>IFERROR(VLOOKUP(B247,EPP!$B$7:$D$64,2,FALSE),"")</x:f>
        <x:v>GUANTES DE NITRILO TL</x:v>
      </x:c>
      <x:c r="D247" s="76" t="str">
        <x:f>IFERROR(VLOOKUP(B247,EPP!$B$7:$D$64,3,FALSE),"")</x:f>
        <x:v>Par</x:v>
      </x:c>
      <x:c r="E247" s="76" t="s">
        <x:v>150</x:v>
      </x:c>
      <x:c r="F247" s="76">
        <x:v>1</x:v>
      </x:c>
      <x:c r="G247" s="71"/>
    </x:row>
    <x:row r="248">
      <x:c r="A248" s="74">
        <x:v>46103</x:v>
      </x:c>
      <x:c r="B248" s="79" t="s">
        <x:v>52</x:v>
      </x:c>
      <x:c r="C248" s="76" t="str">
        <x:f>IFERROR(VLOOKUP(B248,EPP!$B$7:$D$64,2,FALSE),"")</x:f>
        <x:v>GUANTES DE NITRILO TL</x:v>
      </x:c>
      <x:c r="D248" s="76" t="str">
        <x:f>IFERROR(VLOOKUP(B248,EPP!$B$7:$D$64,3,FALSE),"")</x:f>
        <x:v>Par</x:v>
      </x:c>
      <x:c r="E248" s="76" t="s">
        <x:v>161</x:v>
      </x:c>
      <x:c r="F248" s="76">
        <x:v>1</x:v>
      </x:c>
      <x:c r="G248" s="71"/>
    </x:row>
    <x:row r="249">
      <x:c r="A249" s="74">
        <x:v>46103</x:v>
      </x:c>
      <x:c r="B249" s="79" t="s">
        <x:v>78</x:v>
      </x:c>
      <x:c r="C249" s="76" t="str">
        <x:f>IFERROR(VLOOKUP(B249,EPP!$B$7:$D$64,2,FALSE),"")</x:f>
        <x:v>GUANTE KIM- NITRILO ARENADO T9</x:v>
      </x:c>
      <x:c r="D249" s="76" t="str">
        <x:f>IFERROR(VLOOKUP(B249,EPP!$B$7:$D$64,3,FALSE),"")</x:f>
        <x:v>Par</x:v>
      </x:c>
      <x:c r="E249" s="76" t="s">
        <x:v>150</x:v>
      </x:c>
      <x:c r="F249" s="76">
        <x:v>1</x:v>
      </x:c>
      <x:c r="G249" s="71"/>
    </x:row>
    <x:row r="250">
      <x:c r="A250" s="74">
        <x:v>46104</x:v>
      </x:c>
      <x:c r="B250" s="76" t="s">
        <x:v>52</x:v>
      </x:c>
      <x:c r="C250" s="76" t="str">
        <x:f>IFERROR(VLOOKUP(B250,EPP!$B$7:$D$64,2,FALSE),"")</x:f>
        <x:v>GUANTES DE NITRILO TL</x:v>
      </x:c>
      <x:c r="D250" s="76" t="str">
        <x:f>IFERROR(VLOOKUP(B250,EPP!$B$7:$D$64,3,FALSE),"")</x:f>
        <x:v>Par</x:v>
      </x:c>
      <x:c r="E250" s="76" t="s">
        <x:v>161</x:v>
      </x:c>
      <x:c r="F250" s="76">
        <x:v>1</x:v>
      </x:c>
      <x:c r="G250" s="71"/>
    </x:row>
    <x:row r="251">
      <x:c r="A251" s="74">
        <x:v>46104</x:v>
      </x:c>
      <x:c r="B251" s="76" t="s">
        <x:v>78</x:v>
      </x:c>
      <x:c r="C251" s="76" t="str">
        <x:f>IFERROR(VLOOKUP(B251,EPP!$B$7:$D$64,2,FALSE),"")</x:f>
        <x:v>GUANTE KIM- NITRILO ARENADO T9</x:v>
      </x:c>
      <x:c r="D251" s="76" t="str">
        <x:f>IFERROR(VLOOKUP(B251,EPP!$B$7:$D$64,3,FALSE),"")</x:f>
        <x:v>Par</x:v>
      </x:c>
      <x:c r="E251" s="76" t="s">
        <x:v>145</x:v>
      </x:c>
      <x:c r="F251" s="76">
        <x:v>1</x:v>
      </x:c>
      <x:c r="G251" s="71"/>
    </x:row>
    <x:row r="252">
      <x:c r="A252" s="74">
        <x:v>46104</x:v>
      </x:c>
      <x:c r="B252" s="76" t="s">
        <x:v>78</x:v>
      </x:c>
      <x:c r="C252" s="76" t="str">
        <x:f>IFERROR(VLOOKUP(B252,EPP!$B$7:$D$64,2,FALSE),"")</x:f>
        <x:v>GUANTE KIM- NITRILO ARENADO T9</x:v>
      </x:c>
      <x:c r="D252" s="76" t="str">
        <x:f>IFERROR(VLOOKUP(B252,EPP!$B$7:$D$64,3,FALSE),"")</x:f>
        <x:v>Par</x:v>
      </x:c>
      <x:c r="E252" s="76" t="s">
        <x:v>149</x:v>
      </x:c>
      <x:c r="F252" s="76">
        <x:v>1</x:v>
      </x:c>
      <x:c r="G252" s="71"/>
    </x:row>
    <x:row r="253">
      <x:c r="A253" s="74">
        <x:v>46104</x:v>
      </x:c>
      <x:c r="B253" s="76" t="s">
        <x:v>78</x:v>
      </x:c>
      <x:c r="C253" s="76" t="str">
        <x:f>IFERROR(VLOOKUP(B253,EPP!$B$7:$D$64,2,FALSE),"")</x:f>
        <x:v>GUANTE KIM- NITRILO ARENADO T9</x:v>
      </x:c>
      <x:c r="D253" s="76" t="str">
        <x:f>IFERROR(VLOOKUP(B253,EPP!$B$7:$D$64,3,FALSE),"")</x:f>
        <x:v>Par</x:v>
      </x:c>
      <x:c r="E253" s="76" t="s">
        <x:v>169</x:v>
      </x:c>
      <x:c r="F253" s="76">
        <x:v>1</x:v>
      </x:c>
      <x:c r="G253" s="71"/>
    </x:row>
    <x:row r="254">
      <x:c r="A254" s="74">
        <x:v>46104</x:v>
      </x:c>
      <x:c r="B254" s="76" t="s">
        <x:v>78</x:v>
      </x:c>
      <x:c r="C254" s="76" t="str">
        <x:f>IFERROR(VLOOKUP(B254,EPP!$B$7:$D$64,2,FALSE),"")</x:f>
        <x:v>GUANTE KIM- NITRILO ARENADO T9</x:v>
      </x:c>
      <x:c r="D254" s="76" t="str">
        <x:f>IFERROR(VLOOKUP(B254,EPP!$B$7:$D$64,3,FALSE),"")</x:f>
        <x:v>Par</x:v>
      </x:c>
      <x:c r="E254" s="76" t="s">
        <x:v>171</x:v>
      </x:c>
      <x:c r="F254" s="76">
        <x:v>1</x:v>
      </x:c>
      <x:c r="G254" s="71"/>
    </x:row>
    <x:row r="255">
      <x:c r="A255" s="74">
        <x:v>46105</x:v>
      </x:c>
      <x:c r="B255" s="76" t="s">
        <x:v>52</x:v>
      </x:c>
      <x:c r="C255" s="76" t="str">
        <x:f>IFERROR(VLOOKUP(B255,EPP!$B$7:$D$64,2,FALSE),"")</x:f>
        <x:v>GUANTES DE NITRILO TL</x:v>
      </x:c>
      <x:c r="D255" s="76" t="str">
        <x:f>IFERROR(VLOOKUP(B255,EPP!$B$7:$D$64,3,FALSE),"")</x:f>
        <x:v>Par</x:v>
      </x:c>
      <x:c r="E255" s="76" t="s">
        <x:v>161</x:v>
      </x:c>
      <x:c r="F255" s="76">
        <x:v>1</x:v>
      </x:c>
      <x:c r="G255" s="71"/>
    </x:row>
    <x:row r="256">
      <x:c r="A256" s="74">
        <x:v>46105</x:v>
      </x:c>
      <x:c r="B256" s="76" t="s">
        <x:v>78</x:v>
      </x:c>
      <x:c r="C256" s="76" t="str">
        <x:f>IFERROR(VLOOKUP(B256,EPP!$B$7:$D$64,2,FALSE),"")</x:f>
        <x:v>GUANTE KIM- NITRILO ARENADO T9</x:v>
      </x:c>
      <x:c r="D256" s="76" t="str">
        <x:f>IFERROR(VLOOKUP(B256,EPP!$B$7:$D$64,3,FALSE),"")</x:f>
        <x:v>Par</x:v>
      </x:c>
      <x:c r="E256" s="76" t="s">
        <x:v>173</x:v>
      </x:c>
      <x:c r="F256" s="76">
        <x:v>1</x:v>
      </x:c>
      <x:c r="G256" s="71"/>
    </x:row>
    <x:row r="257">
      <x:c r="A257" s="74">
        <x:v>46106</x:v>
      </x:c>
      <x:c r="B257" s="76" t="s">
        <x:v>78</x:v>
      </x:c>
      <x:c r="C257" s="76" t="str">
        <x:f>IFERROR(VLOOKUP(B257,EPP!$B$7:$D$64,2,FALSE),"")</x:f>
        <x:v>GUANTE KIM- NITRILO ARENADO T9</x:v>
      </x:c>
      <x:c r="D257" s="76" t="str">
        <x:f>IFERROR(VLOOKUP(B257,EPP!$B$7:$D$64,3,FALSE),"")</x:f>
        <x:v>Par</x:v>
      </x:c>
      <x:c r="E257" s="76" t="s">
        <x:v>170</x:v>
      </x:c>
      <x:c r="F257" s="76">
        <x:v>1</x:v>
      </x:c>
      <x:c r="G257" s="71"/>
    </x:row>
    <x:row r="258">
      <x:c r="A258" s="74">
        <x:v>46106</x:v>
      </x:c>
      <x:c r="B258" s="76" t="s">
        <x:v>52</x:v>
      </x:c>
      <x:c r="C258" s="76" t="str">
        <x:f>IFERROR(VLOOKUP(B258,EPP!$B$7:$D$64,2,FALSE),"")</x:f>
        <x:v>GUANTES DE NITRILO TL</x:v>
      </x:c>
      <x:c r="D258" s="76" t="str">
        <x:f>IFERROR(VLOOKUP(B258,EPP!$B$7:$D$64,3,FALSE),"")</x:f>
        <x:v>Par</x:v>
      </x:c>
      <x:c r="E258" s="76" t="s">
        <x:v>161</x:v>
      </x:c>
      <x:c r="F258" s="76">
        <x:v>1</x:v>
      </x:c>
      <x:c r="G258" s="71"/>
    </x:row>
    <x:row r="259">
      <x:c r="A259" s="74">
        <x:v>46106</x:v>
      </x:c>
      <x:c r="B259" s="76" t="s">
        <x:v>78</x:v>
      </x:c>
      <x:c r="C259" s="76" t="str">
        <x:f>IFERROR(VLOOKUP(B259,EPP!$B$7:$D$64,2,FALSE),"")</x:f>
        <x:v>GUANTE KIM- NITRILO ARENADO T9</x:v>
      </x:c>
      <x:c r="D259" s="76" t="str">
        <x:f>IFERROR(VLOOKUP(B259,EPP!$B$7:$D$64,3,FALSE),"")</x:f>
        <x:v>Par</x:v>
      </x:c>
      <x:c r="E259" s="76" t="s">
        <x:v>143</x:v>
      </x:c>
      <x:c r="F259" s="76">
        <x:v>1</x:v>
      </x:c>
      <x:c r="G259" s="71"/>
    </x:row>
    <x:row r="260">
      <x:c r="A260" s="17">
        <x:v>46106</x:v>
      </x:c>
      <x:c r="B260" s="16" t="s">
        <x:v>52</x:v>
      </x:c>
      <x:c r="C260" s="77" t="str">
        <x:f>IFERROR(VLOOKUP(B260,EPP!$B$7:$D$64,2,FALSE),"")</x:f>
        <x:v>GUANTES DE NITRILO TL</x:v>
      </x:c>
      <x:c r="D260" s="77" t="str">
        <x:f>IFERROR(VLOOKUP(B260,EPP!$B$7:$D$64,3,FALSE),"")</x:f>
        <x:v>Par</x:v>
      </x:c>
      <x:c r="E260" s="16" t="s">
        <x:v>163</x:v>
      </x:c>
      <x:c r="F260" s="77">
        <x:v>1</x:v>
      </x:c>
      <x:c r="G260" s="71"/>
    </x:row>
    <x:row r="261">
      <x:c r="A261" s="74">
        <x:v>46107</x:v>
      </x:c>
      <x:c r="B261" s="76" t="s">
        <x:v>78</x:v>
      </x:c>
      <x:c r="C261" s="76" t="str">
        <x:f>IFERROR(VLOOKUP(B261,EPP!$B$7:$D$64,2,FALSE),"")</x:f>
        <x:v>GUANTE KIM- NITRILO ARENADO T9</x:v>
      </x:c>
      <x:c r="D261" s="76" t="str">
        <x:f>IFERROR(VLOOKUP(B261,EPP!$B$7:$D$64,3,FALSE),"")</x:f>
        <x:v>Par</x:v>
      </x:c>
      <x:c r="E261" s="76" t="s">
        <x:v>157</x:v>
      </x:c>
      <x:c r="F261" s="76">
        <x:v>1</x:v>
      </x:c>
      <x:c r="G261" s="71"/>
    </x:row>
    <x:row r="262">
      <x:c r="A262" s="74">
        <x:v>46107</x:v>
      </x:c>
      <x:c r="B262" s="76" t="s">
        <x:v>78</x:v>
      </x:c>
      <x:c r="C262" s="76" t="str">
        <x:f>IFERROR(VLOOKUP(B262,EPP!$B$7:$D$64,2,FALSE),"")</x:f>
        <x:v>GUANTE KIM- NITRILO ARENADO T9</x:v>
      </x:c>
      <x:c r="D262" s="76" t="str">
        <x:f>IFERROR(VLOOKUP(B262,EPP!$B$7:$D$64,3,FALSE),"")</x:f>
        <x:v>Par</x:v>
      </x:c>
      <x:c r="E262" s="76" t="s">
        <x:v>146</x:v>
      </x:c>
      <x:c r="F262" s="76">
        <x:v>1</x:v>
      </x:c>
      <x:c r="G262" s="71"/>
    </x:row>
    <x:row r="263">
      <x:c r="A263" s="74">
        <x:v>46107</x:v>
      </x:c>
      <x:c r="B263" s="76" t="s">
        <x:v>52</x:v>
      </x:c>
      <x:c r="C263" s="76" t="str">
        <x:f>IFERROR(VLOOKUP(B263,EPP!$B$7:$D$64,2,FALSE),"")</x:f>
        <x:v>GUANTES DE NITRILO TL</x:v>
      </x:c>
      <x:c r="D263" s="76" t="str">
        <x:f>IFERROR(VLOOKUP(B263,EPP!$B$7:$D$64,3,FALSE),"")</x:f>
        <x:v>Par</x:v>
      </x:c>
      <x:c r="E263" s="76" t="s">
        <x:v>161</x:v>
      </x:c>
      <x:c r="F263" s="76">
        <x:v>1</x:v>
      </x:c>
      <x:c r="G263" s="71"/>
    </x:row>
    <x:row r="264">
      <x:c r="A264" s="74">
        <x:v>46107</x:v>
      </x:c>
      <x:c r="B264" s="76" t="s">
        <x:v>27</x:v>
      </x:c>
      <x:c r="C264" s="76" t="str">
        <x:f>IFERROR(VLOOKUP(B264,EPP!$B$7:$D$64,2,FALSE),"")</x:f>
        <x:v>GAFAS LENTE OSCURO</x:v>
      </x:c>
      <x:c r="D264" s="76" t="str">
        <x:f>IFERROR(VLOOKUP(B264,EPP!$B$7:$D$64,3,FALSE),"")</x:f>
        <x:v>Unidad </x:v>
      </x:c>
      <x:c r="E264" s="76" t="s">
        <x:v>157</x:v>
      </x:c>
      <x:c r="F264" s="76">
        <x:v>1</x:v>
      </x:c>
      <x:c r="G264" s="71"/>
    </x:row>
    <x:row r="265">
      <x:c r="A265" s="74">
        <x:v>46107</x:v>
      </x:c>
      <x:c r="B265" s="76" t="s">
        <x:v>29</x:v>
      </x:c>
      <x:c r="C265" s="76" t="str">
        <x:f>IFERROR(VLOOKUP(B265,EPP!$B$7:$D$64,2,FALSE),"")</x:f>
        <x:v>GAFAS LENTE CLARO</x:v>
      </x:c>
      <x:c r="D265" s="76" t="str">
        <x:f>IFERROR(VLOOKUP(B265,EPP!$B$7:$D$64,3,FALSE),"")</x:f>
        <x:v>Unidad </x:v>
      </x:c>
      <x:c r="E265" s="76" t="s">
        <x:v>157</x:v>
      </x:c>
      <x:c r="F265" s="76">
        <x:v>1</x:v>
      </x:c>
      <x:c r="G265" s="71"/>
    </x:row>
    <x:row r="266">
      <x:c r="A266" s="74">
        <x:v>46108</x:v>
      </x:c>
      <x:c r="B266" s="76" t="s">
        <x:v>52</x:v>
      </x:c>
      <x:c r="C266" s="76" t="str">
        <x:f>IFERROR(VLOOKUP(B266,EPP!$B$7:$D$64,2,FALSE),"")</x:f>
        <x:v>GUANTES DE NITRILO TL</x:v>
      </x:c>
      <x:c r="D266" s="76" t="str">
        <x:f>IFERROR(VLOOKUP(B266,EPP!$B$7:$D$64,3,FALSE),"")</x:f>
        <x:v>Par</x:v>
      </x:c>
      <x:c r="E266" s="76" t="s">
        <x:v>161</x:v>
      </x:c>
      <x:c r="F266" s="76">
        <x:v>1</x:v>
      </x:c>
      <x:c r="G266" s="71"/>
    </x:row>
    <x:row r="267">
      <x:c r="A267" s="74">
        <x:v>46109</x:v>
      </x:c>
      <x:c r="B267" s="80" t="s">
        <x:v>27</x:v>
      </x:c>
      <x:c r="C267" s="76" t="str">
        <x:f>IFERROR(VLOOKUP(B267,EPP!$B$7:$D$64,2,FALSE),"")</x:f>
        <x:v>GAFAS LENTE OSCURO</x:v>
      </x:c>
      <x:c r="D267" s="76" t="str">
        <x:f>IFERROR(VLOOKUP(B267,EPP!$B$7:$D$64,3,FALSE),"")</x:f>
        <x:v>Unidad </x:v>
      </x:c>
      <x:c r="E267" s="76" t="s">
        <x:v>170</x:v>
      </x:c>
      <x:c r="F267" s="76">
        <x:v>1</x:v>
      </x:c>
      <x:c r="G267" s="71"/>
    </x:row>
    <x:row r="268">
      <x:c r="A268" s="74">
        <x:v>46109</x:v>
      </x:c>
      <x:c r="B268" s="80" t="s">
        <x:v>29</x:v>
      </x:c>
      <x:c r="C268" s="76" t="str">
        <x:f>IFERROR(VLOOKUP(B268,EPP!$B$7:$D$64,2,FALSE),"")</x:f>
        <x:v>GAFAS LENTE CLARO</x:v>
      </x:c>
      <x:c r="D268" s="76" t="str">
        <x:f>IFERROR(VLOOKUP(B268,EPP!$B$7:$D$64,3,FALSE),"")</x:f>
        <x:v>Unidad </x:v>
      </x:c>
      <x:c r="E268" s="76" t="s">
        <x:v>170</x:v>
      </x:c>
      <x:c r="F268" s="76">
        <x:v>1</x:v>
      </x:c>
      <x:c r="G268" s="71"/>
    </x:row>
    <x:row r="269">
      <x:c r="A269" s="74">
        <x:v>46109</x:v>
      </x:c>
      <x:c r="B269" s="79" t="s">
        <x:v>78</x:v>
      </x:c>
      <x:c r="C269" s="76" t="str">
        <x:f>IFERROR(VLOOKUP(B269,EPP!$B$7:$D$64,2,FALSE),"")</x:f>
        <x:v>GUANTE KIM- NITRILO ARENADO T9</x:v>
      </x:c>
      <x:c r="D269" s="76" t="str">
        <x:f>IFERROR(VLOOKUP(B269,EPP!$B$7:$D$64,3,FALSE),"")</x:f>
        <x:v>Par</x:v>
      </x:c>
      <x:c r="E269" s="76" t="s">
        <x:v>147</x:v>
      </x:c>
      <x:c r="F269" s="76">
        <x:v>1</x:v>
      </x:c>
      <x:c r="G269" s="71"/>
    </x:row>
    <x:row r="270">
      <x:c r="A270" s="74">
        <x:v>46109</x:v>
      </x:c>
      <x:c r="B270" s="81" t="s">
        <x:v>78</x:v>
      </x:c>
      <x:c r="C270" s="76" t="str">
        <x:f>IFERROR(VLOOKUP(B270,EPP!$B$7:$D$64,2,FALSE),"")</x:f>
        <x:v>GUANTE KIM- NITRILO ARENADO T9</x:v>
      </x:c>
      <x:c r="D270" s="76" t="str">
        <x:f>IFERROR(VLOOKUP(B270,EPP!$B$7:$D$64,3,FALSE),"")</x:f>
        <x:v>Par</x:v>
      </x:c>
      <x:c r="E270" s="76" t="s">
        <x:v>162</x:v>
      </x:c>
      <x:c r="F270" s="76">
        <x:v>1</x:v>
      </x:c>
      <x:c r="G270" s="71"/>
    </x:row>
    <x:row r="271">
      <x:c r="A271" s="74">
        <x:v>46109</x:v>
      </x:c>
      <x:c r="B271" s="81" t="s">
        <x:v>78</x:v>
      </x:c>
      <x:c r="C271" s="76" t="str">
        <x:f>IFERROR(VLOOKUP(B271,EPP!$B$7:$D$64,2,FALSE),"")</x:f>
        <x:v>GUANTE KIM- NITRILO ARENADO T9</x:v>
      </x:c>
      <x:c r="D271" s="76" t="str">
        <x:f>IFERROR(VLOOKUP(B271,EPP!$B$7:$D$64,3,FALSE),"")</x:f>
        <x:v>Par</x:v>
      </x:c>
      <x:c r="E271" s="76" t="s">
        <x:v>166</x:v>
      </x:c>
      <x:c r="F271" s="76">
        <x:v>1</x:v>
      </x:c>
      <x:c r="G271" s="71"/>
    </x:row>
    <x:row r="272">
      <x:c r="A272" s="74">
        <x:v>46109</x:v>
      </x:c>
      <x:c r="B272" s="81" t="s">
        <x:v>46</x:v>
      </x:c>
      <x:c r="C272" s="76" t="str">
        <x:f>IFERROR(VLOOKUP(B272,EPP!$B$7:$D$64,2,FALSE),"")</x:f>
        <x:v>RESPIRADOR KN95</x:v>
      </x:c>
      <x:c r="D272" s="76" t="str">
        <x:f>IFERROR(VLOOKUP(B272,EPP!$B$7:$D$64,3,FALSE),"")</x:f>
        <x:v>Unidad </x:v>
      </x:c>
      <x:c r="E272" s="76" t="s">
        <x:v>160</x:v>
      </x:c>
      <x:c r="F272" s="76">
        <x:v>1</x:v>
      </x:c>
      <x:c r="G272" s="71"/>
    </x:row>
    <x:row r="273">
      <x:c r="A273" s="74">
        <x:v>46109</x:v>
      </x:c>
      <x:c r="B273" s="81" t="s">
        <x:v>78</x:v>
      </x:c>
      <x:c r="C273" s="76" t="str">
        <x:f>IFERROR(VLOOKUP(B273,EPP!$B$7:$D$64,2,FALSE),"")</x:f>
        <x:v>GUANTE KIM- NITRILO ARENADO T9</x:v>
      </x:c>
      <x:c r="D273" s="76" t="str">
        <x:f>IFERROR(VLOOKUP(B273,EPP!$B$7:$D$64,3,FALSE),"")</x:f>
        <x:v>Par</x:v>
      </x:c>
      <x:c r="E273" s="76" t="s">
        <x:v>160</x:v>
      </x:c>
      <x:c r="F273" s="76">
        <x:v>1</x:v>
      </x:c>
      <x:c r="G273" s="71"/>
    </x:row>
    <x:row r="274">
      <x:c r="A274" s="74">
        <x:v>46109</x:v>
      </x:c>
      <x:c r="B274" s="81" t="s">
        <x:v>52</x:v>
      </x:c>
      <x:c r="C274" s="76" t="str">
        <x:f>IFERROR(VLOOKUP(B274,EPP!$B$7:$D$64,2,FALSE),"")</x:f>
        <x:v>GUANTES DE NITRILO TL</x:v>
      </x:c>
      <x:c r="D274" s="76" t="str">
        <x:f>IFERROR(VLOOKUP(B274,EPP!$B$7:$D$64,3,FALSE),"")</x:f>
        <x:v>Par</x:v>
      </x:c>
      <x:c r="E274" s="76" t="s">
        <x:v>161</x:v>
      </x:c>
      <x:c r="F274" s="76">
        <x:v>1</x:v>
      </x:c>
      <x:c r="G274" s="71"/>
    </x:row>
    <x:row r="275">
      <x:c r="A275" s="74">
        <x:v>46110</x:v>
      </x:c>
      <x:c r="B275" s="79" t="s">
        <x:v>52</x:v>
      </x:c>
      <x:c r="C275" s="76" t="str">
        <x:f>IFERROR(VLOOKUP(B275,EPP!$B$7:$D$64,2,FALSE),"")</x:f>
        <x:v>GUANTES DE NITRILO TL</x:v>
      </x:c>
      <x:c r="D275" s="76" t="str">
        <x:f>IFERROR(VLOOKUP(B275,EPP!$B$7:$D$64,3,FALSE),"")</x:f>
        <x:v>Par</x:v>
      </x:c>
      <x:c r="E275" s="76" t="s">
        <x:v>161</x:v>
      </x:c>
      <x:c r="F275" s="76">
        <x:v>2</x:v>
      </x:c>
      <x:c r="G275" s="71"/>
    </x:row>
    <x:row r="276">
      <x:c r="A276" s="74">
        <x:v>46111</x:v>
      </x:c>
      <x:c r="B276" s="79" t="s">
        <x:v>108</x:v>
      </x:c>
      <x:c r="C276" s="76" t="str">
        <x:f>IFERROR(VLOOKUP(B276,EPP!$B$7:$D$64,2,FALSE),"")</x:f>
        <x:v>OVEROL ANTIFUIDO INDUSTRIAL TL</x:v>
      </x:c>
      <x:c r="D276" s="76" t="str">
        <x:f>IFERROR(VLOOKUP(B276,EPP!$B$7:$D$64,3,FALSE),"")</x:f>
        <x:v>Unidad </x:v>
      </x:c>
      <x:c r="E276" s="76" t="s">
        <x:v>148</x:v>
      </x:c>
      <x:c r="F276" s="76">
        <x:v>1</x:v>
      </x:c>
      <x:c r="G276" s="71"/>
    </x:row>
    <x:row r="277">
      <x:c r="A277" s="74">
        <x:v>46111</x:v>
      </x:c>
      <x:c r="B277" s="79" t="s">
        <x:v>78</x:v>
      </x:c>
      <x:c r="C277" s="76" t="str">
        <x:f>IFERROR(VLOOKUP(B277,EPP!$B$7:$D$64,2,FALSE),"")</x:f>
        <x:v>GUANTE KIM- NITRILO ARENADO T9</x:v>
      </x:c>
      <x:c r="D277" s="76" t="str">
        <x:f>IFERROR(VLOOKUP(B277,EPP!$B$7:$D$64,3,FALSE),"")</x:f>
        <x:v>Par</x:v>
      </x:c>
      <x:c r="E277" s="76" t="s">
        <x:v>148</x:v>
      </x:c>
      <x:c r="F277" s="76">
        <x:v>1</x:v>
      </x:c>
      <x:c r="G277" s="71"/>
    </x:row>
    <x:row r="278">
      <x:c r="A278" s="74">
        <x:v>46111</x:v>
      </x:c>
      <x:c r="B278" s="81" t="s">
        <x:v>29</x:v>
      </x:c>
      <x:c r="C278" s="76" t="str">
        <x:f>IFERROR(VLOOKUP(B278,EPP!$B$7:$D$64,2,FALSE),"")</x:f>
        <x:v>GAFAS LENTE CLARO</x:v>
      </x:c>
      <x:c r="D278" s="76" t="str">
        <x:f>IFERROR(VLOOKUP(B278,EPP!$B$7:$D$64,3,FALSE),"")</x:f>
        <x:v>Unidad </x:v>
      </x:c>
      <x:c r="E278" s="76" t="s">
        <x:v>148</x:v>
      </x:c>
      <x:c r="F278" s="76">
        <x:v>1</x:v>
      </x:c>
      <x:c r="G278" s="71"/>
    </x:row>
    <x:row r="279">
      <x:c r="A279" s="74">
        <x:v>46111</x:v>
      </x:c>
      <x:c r="B279" s="81" t="s">
        <x:v>27</x:v>
      </x:c>
      <x:c r="C279" s="76" t="str">
        <x:f>IFERROR(VLOOKUP(B279,EPP!$B$7:$D$64,2,FALSE),"")</x:f>
        <x:v>GAFAS LENTE OSCURO</x:v>
      </x:c>
      <x:c r="D279" s="76" t="str">
        <x:f>IFERROR(VLOOKUP(B279,EPP!$B$7:$D$64,3,FALSE),"")</x:f>
        <x:v>Unidad </x:v>
      </x:c>
      <x:c r="E279" s="76" t="s">
        <x:v>148</x:v>
      </x:c>
      <x:c r="F279" s="76">
        <x:v>1</x:v>
      </x:c>
      <x:c r="G279" s="71"/>
    </x:row>
    <x:row r="280">
      <x:c r="A280" s="74">
        <x:v>46111</x:v>
      </x:c>
      <x:c r="B280" s="79" t="s">
        <x:v>21</x:v>
      </x:c>
      <x:c r="C280" s="76" t="str">
        <x:f>IFERROR(VLOOKUP(B280,EPP!$B$7:$D$64,2,FALSE),"")</x:f>
        <x:v>SOMBRERO TIPO SAFARY</x:v>
      </x:c>
      <x:c r="D280" s="76" t="str">
        <x:f>IFERROR(VLOOKUP(B280,EPP!$B$7:$D$64,3,FALSE),"")</x:f>
        <x:v>Unidad </x:v>
      </x:c>
      <x:c r="E280" s="76" t="s">
        <x:v>148</x:v>
      </x:c>
      <x:c r="F280" s="76">
        <x:v>1</x:v>
      </x:c>
      <x:c r="G280" s="71"/>
    </x:row>
    <x:row r="281">
      <x:c r="A281" s="74">
        <x:v>46111</x:v>
      </x:c>
      <x:c r="B281" s="79" t="s">
        <x:v>21</x:v>
      </x:c>
      <x:c r="C281" s="76" t="str">
        <x:f>IFERROR(VLOOKUP(B281,EPP!$B$7:$D$64,2,FALSE),"")</x:f>
        <x:v>SOMBRERO TIPO SAFARY</x:v>
      </x:c>
      <x:c r="D281" s="76" t="str">
        <x:f>IFERROR(VLOOKUP(B281,EPP!$B$7:$D$64,3,FALSE),"")</x:f>
        <x:v>Unidad </x:v>
      </x:c>
      <x:c r="E281" s="76" t="s">
        <x:v>151</x:v>
      </x:c>
      <x:c r="F281" s="76">
        <x:v>1</x:v>
      </x:c>
      <x:c r="G281" s="71"/>
    </x:row>
    <x:row r="282">
      <x:c r="A282" s="74">
        <x:v>46111</x:v>
      </x:c>
      <x:c r="B282" s="79" t="s">
        <x:v>108</x:v>
      </x:c>
      <x:c r="C282" s="76" t="str">
        <x:f>IFERROR(VLOOKUP(B282,EPP!$B$7:$D$64,2,FALSE),"")</x:f>
        <x:v>OVEROL ANTIFUIDO INDUSTRIAL TL</x:v>
      </x:c>
      <x:c r="D282" s="76" t="str">
        <x:f>IFERROR(VLOOKUP(B282,EPP!$B$7:$D$64,3,FALSE),"")</x:f>
        <x:v>Unidad </x:v>
      </x:c>
      <x:c r="E282" s="76" t="s">
        <x:v>151</x:v>
      </x:c>
      <x:c r="F282" s="76">
        <x:v>1</x:v>
      </x:c>
      <x:c r="G282" s="71"/>
    </x:row>
    <x:row r="283">
      <x:c r="A283" s="74">
        <x:v>46111</x:v>
      </x:c>
      <x:c r="B283" s="76" t="s">
        <x:v>29</x:v>
      </x:c>
      <x:c r="C283" s="76" t="str">
        <x:f>IFERROR(VLOOKUP(B283,EPP!$B$7:$D$64,2,FALSE),"")</x:f>
        <x:v>GAFAS LENTE CLARO</x:v>
      </x:c>
      <x:c r="D283" s="76" t="str">
        <x:f>IFERROR(VLOOKUP(B283,EPP!$B$7:$D$64,3,FALSE),"")</x:f>
        <x:v>Unidad </x:v>
      </x:c>
      <x:c r="E283" s="76" t="s">
        <x:v>151</x:v>
      </x:c>
      <x:c r="F283" s="76">
        <x:v>1</x:v>
      </x:c>
      <x:c r="G283" s="71"/>
    </x:row>
    <x:row r="284">
      <x:c r="A284" s="74">
        <x:v>46111</x:v>
      </x:c>
      <x:c r="B284" s="79" t="s">
        <x:v>27</x:v>
      </x:c>
      <x:c r="C284" s="76" t="str">
        <x:f>IFERROR(VLOOKUP(B284,EPP!$B$7:$D$64,2,FALSE),"")</x:f>
        <x:v>GAFAS LENTE OSCURO</x:v>
      </x:c>
      <x:c r="D284" s="76" t="str">
        <x:f>IFERROR(VLOOKUP(B284,EPP!$B$7:$D$64,3,FALSE),"")</x:f>
        <x:v>Unidad </x:v>
      </x:c>
      <x:c r="E284" s="76" t="s">
        <x:v>151</x:v>
      </x:c>
      <x:c r="F284" s="76">
        <x:v>1</x:v>
      </x:c>
      <x:c r="G284" s="71"/>
    </x:row>
    <x:row r="285">
      <x:c r="A285" s="74">
        <x:v>46111</x:v>
      </x:c>
      <x:c r="B285" s="81" t="s">
        <x:v>78</x:v>
      </x:c>
      <x:c r="C285" s="76" t="str">
        <x:f>IFERROR(VLOOKUP(B285,EPP!$B$7:$D$64,2,FALSE),"")</x:f>
        <x:v>GUANTE KIM- NITRILO ARENADO T9</x:v>
      </x:c>
      <x:c r="D285" s="76" t="str">
        <x:f>IFERROR(VLOOKUP(B285,EPP!$B$7:$D$64,3,FALSE),"")</x:f>
        <x:v>Par</x:v>
      </x:c>
      <x:c r="E285" s="76" t="s">
        <x:v>174</x:v>
      </x:c>
      <x:c r="F285" s="76">
        <x:v>1</x:v>
      </x:c>
      <x:c r="G285" s="71"/>
    </x:row>
    <x:row r="286">
      <x:c r="A286" s="74">
        <x:v>46111</x:v>
      </x:c>
      <x:c r="B286" s="81" t="s">
        <x:v>128</x:v>
      </x:c>
      <x:c r="C286" s="76" t="str">
        <x:f>IFERROR(VLOOKUP(B286,EPP!$B$7:$D$64,2,FALSE),"")</x:f>
        <x:v>IMPERMEABLE L</x:v>
      </x:c>
      <x:c r="D286" s="76" t="str">
        <x:f>IFERROR(VLOOKUP(B286,EPP!$B$7:$D$64,3,FALSE),"")</x:f>
        <x:v>Unidad </x:v>
      </x:c>
      <x:c r="E286" s="76" t="s">
        <x:v>151</x:v>
      </x:c>
      <x:c r="F286" s="76">
        <x:v>1</x:v>
      </x:c>
      <x:c r="G286" s="71"/>
    </x:row>
    <x:row r="287">
      <x:c r="A287" s="74">
        <x:v>46111</x:v>
      </x:c>
      <x:c r="B287" s="80" t="s">
        <x:v>52</x:v>
      </x:c>
      <x:c r="C287" s="76" t="str">
        <x:f>IFERROR(VLOOKUP(B287,EPP!$B$7:$D$64,2,FALSE),"")</x:f>
        <x:v>GUANTES DE NITRILO TL</x:v>
      </x:c>
      <x:c r="D287" s="76" t="str">
        <x:f>IFERROR(VLOOKUP(B287,EPP!$B$7:$D$64,3,FALSE),"")</x:f>
        <x:v>Par</x:v>
      </x:c>
      <x:c r="E287" s="76" t="s">
        <x:v>170</x:v>
      </x:c>
      <x:c r="F287" s="76">
        <x:v>1</x:v>
      </x:c>
      <x:c r="G287" s="71"/>
    </x:row>
    <x:row r="288">
      <x:c r="A288" s="74">
        <x:v>46111</x:v>
      </x:c>
      <x:c r="B288" s="81" t="s">
        <x:v>52</x:v>
      </x:c>
      <x:c r="C288" s="76" t="str">
        <x:f>IFERROR(VLOOKUP(B288,EPP!$B$7:$D$64,2,FALSE),"")</x:f>
        <x:v>GUANTES DE NITRILO TL</x:v>
      </x:c>
      <x:c r="D288" s="76" t="str">
        <x:f>IFERROR(VLOOKUP(B288,EPP!$B$7:$D$64,3,FALSE),"")</x:f>
        <x:v>Par</x:v>
      </x:c>
      <x:c r="E288" s="76" t="s">
        <x:v>162</x:v>
      </x:c>
      <x:c r="F288" s="76">
        <x:v>1</x:v>
      </x:c>
      <x:c r="G288" s="71"/>
    </x:row>
    <x:row r="289">
      <x:c r="A289" s="74">
        <x:v>46111</x:v>
      </x:c>
      <x:c r="B289" s="79" t="s">
        <x:v>78</x:v>
      </x:c>
      <x:c r="C289" s="76" t="str">
        <x:f>IFERROR(VLOOKUP(B289,EPP!$B$7:$D$64,2,FALSE),"")</x:f>
        <x:v>GUANTE KIM- NITRILO ARENADO T9</x:v>
      </x:c>
      <x:c r="D289" s="76" t="str">
        <x:f>IFERROR(VLOOKUP(B289,EPP!$B$7:$D$64,3,FALSE),"")</x:f>
        <x:v>Par</x:v>
      </x:c>
      <x:c r="E289" s="76" t="s">
        <x:v>171</x:v>
      </x:c>
      <x:c r="F289" s="76">
        <x:v>1</x:v>
      </x:c>
      <x:c r="G289" s="71"/>
    </x:row>
    <x:row r="290">
      <x:c r="A290" s="74">
        <x:v>46112</x:v>
      </x:c>
      <x:c r="B290" s="79" t="s">
        <x:v>21</x:v>
      </x:c>
      <x:c r="C290" s="76" t="str">
        <x:f>IFERROR(VLOOKUP(B290,EPP!$B$7:$D$64,2,FALSE),"")</x:f>
        <x:v>SOMBRERO TIPO SAFARY</x:v>
      </x:c>
      <x:c r="D290" s="76" t="str">
        <x:f>IFERROR(VLOOKUP(B290,EPP!$B$7:$D$64,3,FALSE),"")</x:f>
        <x:v>Unidad </x:v>
      </x:c>
      <x:c r="E290" s="76" t="s">
        <x:v>175</x:v>
      </x:c>
      <x:c r="F290" s="76">
        <x:v>1</x:v>
      </x:c>
      <x:c r="G290" s="71"/>
    </x:row>
    <x:row r="291">
      <x:c r="A291" s="74">
        <x:v>46112</x:v>
      </x:c>
      <x:c r="B291" s="81" t="s">
        <x:v>29</x:v>
      </x:c>
      <x:c r="C291" s="76" t="str">
        <x:f>IFERROR(VLOOKUP(B291,EPP!$B$7:$D$64,2,FALSE),"")</x:f>
        <x:v>GAFAS LENTE CLARO</x:v>
      </x:c>
      <x:c r="D291" s="76" t="str">
        <x:f>IFERROR(VLOOKUP(B291,EPP!$B$7:$D$64,3,FALSE),"")</x:f>
        <x:v>Unidad </x:v>
      </x:c>
      <x:c r="E291" s="76" t="s">
        <x:v>175</x:v>
      </x:c>
      <x:c r="F291" s="76">
        <x:v>1</x:v>
      </x:c>
      <x:c r="G291" s="71"/>
    </x:row>
    <x:row r="292">
      <x:c r="A292" s="74">
        <x:v>46112</x:v>
      </x:c>
      <x:c r="B292" s="81" t="s">
        <x:v>27</x:v>
      </x:c>
      <x:c r="C292" s="76" t="str">
        <x:f>IFERROR(VLOOKUP(B292,EPP!$B$7:$D$64,2,FALSE),"")</x:f>
        <x:v>GAFAS LENTE OSCURO</x:v>
      </x:c>
      <x:c r="D292" s="76" t="str">
        <x:f>IFERROR(VLOOKUP(B292,EPP!$B$7:$D$64,3,FALSE),"")</x:f>
        <x:v>Unidad </x:v>
      </x:c>
      <x:c r="E292" s="76" t="s">
        <x:v>175</x:v>
      </x:c>
      <x:c r="F292" s="76">
        <x:v>1</x:v>
      </x:c>
      <x:c r="G292" s="71"/>
    </x:row>
    <x:row r="293">
      <x:c r="A293" s="74">
        <x:v>46112</x:v>
      </x:c>
      <x:c r="B293" s="81" t="s">
        <x:v>78</x:v>
      </x:c>
      <x:c r="C293" s="76" t="str">
        <x:f>IFERROR(VLOOKUP(B293,EPP!$B$7:$D$64,2,FALSE),"")</x:f>
        <x:v>GUANTE KIM- NITRILO ARENADO T9</x:v>
      </x:c>
      <x:c r="D293" s="76" t="str">
        <x:f>IFERROR(VLOOKUP(B293,EPP!$B$7:$D$64,3,FALSE),"")</x:f>
        <x:v>Par</x:v>
      </x:c>
      <x:c r="E293" s="76" t="s">
        <x:v>175</x:v>
      </x:c>
      <x:c r="F293" s="76">
        <x:v>1</x:v>
      </x:c>
      <x:c r="G293" s="71"/>
    </x:row>
    <x:row r="294">
      <x:c r="A294" s="74">
        <x:v>46112</x:v>
      </x:c>
      <x:c r="B294" s="79" t="s">
        <x:v>128</x:v>
      </x:c>
      <x:c r="C294" s="76" t="str">
        <x:f>IFERROR(VLOOKUP(B294,EPP!$B$7:$D$64,2,FALSE),"")</x:f>
        <x:v>IMPERMEABLE L</x:v>
      </x:c>
      <x:c r="D294" s="76" t="str">
        <x:f>IFERROR(VLOOKUP(B294,EPP!$B$7:$D$64,3,FALSE),"")</x:f>
        <x:v>Unidad </x:v>
      </x:c>
      <x:c r="E294" s="76" t="s">
        <x:v>175</x:v>
      </x:c>
      <x:c r="F294" s="76">
        <x:v>1</x:v>
      </x:c>
      <x:c r="G294" s="71"/>
    </x:row>
    <x:row r="295">
      <x:c r="A295" s="74">
        <x:v>46112</x:v>
      </x:c>
      <x:c r="B295" s="81" t="s">
        <x:v>76</x:v>
      </x:c>
      <x:c r="C295" s="76" t="str">
        <x:f>IFERROR(VLOOKUP(B295,EPP!$B$7:$D$64,2,FALSE),"")</x:f>
        <x:v>GUANTE KIM- NITRILO ARENADO T8</x:v>
      </x:c>
      <x:c r="D295" s="76" t="str">
        <x:f>IFERROR(VLOOKUP(B295,EPP!$B$7:$D$64,3,FALSE),"")</x:f>
        <x:v>Par</x:v>
      </x:c>
      <x:c r="E295" s="76" t="s">
        <x:v>155</x:v>
      </x:c>
      <x:c r="F295" s="76">
        <x:v>1</x:v>
      </x:c>
      <x:c r="G295" s="71"/>
    </x:row>
    <x:row r="296">
      <x:c r="A296" s="74">
        <x:v>46112</x:v>
      </x:c>
      <x:c r="B296" s="76" t="s">
        <x:v>78</x:v>
      </x:c>
      <x:c r="C296" s="76" t="str">
        <x:f>IFERROR(VLOOKUP(B296,EPP!$B$7:$D$64,2,FALSE),"")</x:f>
        <x:v>GUANTE KIM- NITRILO ARENADO T9</x:v>
      </x:c>
      <x:c r="D296" s="76" t="str">
        <x:f>IFERROR(VLOOKUP(B296,EPP!$B$7:$D$64,3,FALSE),"")</x:f>
        <x:v>Par</x:v>
      </x:c>
      <x:c r="E296" s="76" t="s">
        <x:v>176</x:v>
      </x:c>
      <x:c r="F296" s="76">
        <x:v>1</x:v>
      </x:c>
      <x:c r="G296" s="71"/>
    </x:row>
    <x:row r="297">
      <x:c r="A297" s="74">
        <x:v>46112</x:v>
      </x:c>
      <x:c r="B297" s="76" t="s">
        <x:v>78</x:v>
      </x:c>
      <x:c r="C297" s="76" t="str">
        <x:f>IFERROR(VLOOKUP(B297,EPP!$B$7:$D$64,2,FALSE),"")</x:f>
        <x:v>GUANTE KIM- NITRILO ARENADO T9</x:v>
      </x:c>
      <x:c r="D297" s="76" t="str">
        <x:f>IFERROR(VLOOKUP(B297,EPP!$B$7:$D$64,3,FALSE),"")</x:f>
        <x:v>Par</x:v>
      </x:c>
      <x:c r="E297" s="76" t="s">
        <x:v>154</x:v>
      </x:c>
      <x:c r="F297" s="76">
        <x:v>1</x:v>
      </x:c>
      <x:c r="G297" s="76" t="s">
        <x:v>177</x:v>
      </x:c>
    </x:row>
    <x:row r="298">
      <x:c r="A298" s="74">
        <x:v>46112</x:v>
      </x:c>
      <x:c r="B298" s="76" t="s">
        <x:v>78</x:v>
      </x:c>
      <x:c r="C298" s="76" t="str">
        <x:f>IFERROR(VLOOKUP(B298,EPP!$B$7:$D$64,2,FALSE),"")</x:f>
        <x:v>GUANTE KIM- NITRILO ARENADO T9</x:v>
      </x:c>
      <x:c r="D298" s="76" t="str">
        <x:f>IFERROR(VLOOKUP(B298,EPP!$B$7:$D$64,3,FALSE),"")</x:f>
        <x:v>Par</x:v>
      </x:c>
      <x:c r="E298" s="76" t="s">
        <x:v>161</x:v>
      </x:c>
      <x:c r="F298" s="76">
        <x:v>1</x:v>
      </x:c>
      <x:c r="G298" s="71"/>
    </x:row>
    <x:row r="299">
      <x:c r="A299" s="74">
        <x:v>46113</x:v>
      </x:c>
      <x:c r="B299" s="76" t="s">
        <x:v>78</x:v>
      </x:c>
      <x:c r="C299" s="76" t="str">
        <x:f>IFERROR(VLOOKUP(B299,EPP!$B$7:$D$64,2,FALSE),"")</x:f>
        <x:v>GUANTE KIM- NITRILO ARENADO T9</x:v>
      </x:c>
      <x:c r="D299" s="76" t="str">
        <x:f>IFERROR(VLOOKUP(B299,EPP!$B$7:$D$64,3,FALSE),"")</x:f>
        <x:v>Par</x:v>
      </x:c>
      <x:c r="E299" s="76" t="s">
        <x:v>173</x:v>
      </x:c>
      <x:c r="F299" s="76">
        <x:v>1</x:v>
      </x:c>
      <x:c r="G299" s="71"/>
    </x:row>
    <x:row r="300">
      <x:c r="A300" s="74">
        <x:v>46113</x:v>
      </x:c>
      <x:c r="B300" s="76" t="s">
        <x:v>27</x:v>
      </x:c>
      <x:c r="C300" s="76" t="str">
        <x:f>IFERROR(VLOOKUP(B300,EPP!$B$7:$D$64,2,FALSE),"")</x:f>
        <x:v>GAFAS LENTE OSCURO</x:v>
      </x:c>
      <x:c r="D300" s="76" t="str">
        <x:f>IFERROR(VLOOKUP(B300,EPP!$B$7:$D$64,3,FALSE),"")</x:f>
        <x:v>Unidad </x:v>
      </x:c>
      <x:c r="E300" s="76" t="s">
        <x:v>164</x:v>
      </x:c>
      <x:c r="F300" s="76">
        <x:v>1</x:v>
      </x:c>
      <x:c r="G300" s="71"/>
    </x:row>
    <x:row r="301">
      <x:c r="A301" s="74">
        <x:v>46113</x:v>
      </x:c>
      <x:c r="B301" s="76" t="s">
        <x:v>90</x:v>
      </x:c>
      <x:c r="C301" s="76" t="str">
        <x:f>IFERROR(VLOOKUP(B301,EPP!$B$7:$D$64,2,FALSE),"")</x:f>
        <x:v>PROTECTOR AUDITIVO COPA</x:v>
      </x:c>
      <x:c r="D301" s="76" t="str">
        <x:f>IFERROR(VLOOKUP(B301,EPP!$B$7:$D$64,3,FALSE),"")</x:f>
        <x:v>Unidad </x:v>
      </x:c>
      <x:c r="E301" s="76" t="s">
        <x:v>160</x:v>
      </x:c>
      <x:c r="F301" s="76">
        <x:v>1</x:v>
      </x:c>
      <x:c r="G301" s="71"/>
    </x:row>
    <x:row r="302">
      <x:c r="A302" s="74">
        <x:v>46114</x:v>
      </x:c>
      <x:c r="B302" s="76" t="s">
        <x:v>76</x:v>
      </x:c>
      <x:c r="C302" s="76" t="str">
        <x:f>IFERROR(VLOOKUP(B302,EPP!$B$7:$D$64,2,FALSE),"")</x:f>
        <x:v>GUANTE KIM- NITRILO ARENADO T8</x:v>
      </x:c>
      <x:c r="D302" s="76" t="str">
        <x:f>IFERROR(VLOOKUP(B302,EPP!$B$7:$D$64,3,FALSE),"")</x:f>
        <x:v>Par</x:v>
      </x:c>
      <x:c r="E302" s="76" t="s">
        <x:v>145</x:v>
      </x:c>
      <x:c r="F302" s="76">
        <x:v>1</x:v>
      </x:c>
      <x:c r="G302" s="71"/>
    </x:row>
    <x:row r="303">
      <x:c r="A303" s="74">
        <x:v>46114</x:v>
      </x:c>
      <x:c r="B303" s="76" t="s">
        <x:v>78</x:v>
      </x:c>
      <x:c r="C303" s="76" t="str">
        <x:f>IFERROR(VLOOKUP(B303,EPP!$B$7:$D$64,2,FALSE),"")</x:f>
        <x:v>GUANTE KIM- NITRILO ARENADO T9</x:v>
      </x:c>
      <x:c r="D303" s="76" t="str">
        <x:f>IFERROR(VLOOKUP(B303,EPP!$B$7:$D$64,3,FALSE),"")</x:f>
        <x:v>Par</x:v>
      </x:c>
      <x:c r="E303" s="76" t="s">
        <x:v>172</x:v>
      </x:c>
      <x:c r="F303" s="76">
        <x:v>1</x:v>
      </x:c>
      <x:c r="G303" s="71"/>
    </x:row>
    <x:row r="304">
      <x:c r="A304" s="74">
        <x:v>46114</x:v>
      </x:c>
      <x:c r="B304" s="76" t="s">
        <x:v>78</x:v>
      </x:c>
      <x:c r="C304" s="76" t="str">
        <x:f>IFERROR(VLOOKUP(B304,EPP!$B$7:$D$64,2,FALSE),"")</x:f>
        <x:v>GUANTE KIM- NITRILO ARENADO T9</x:v>
      </x:c>
      <x:c r="D304" s="76" t="str">
        <x:f>IFERROR(VLOOKUP(B304,EPP!$B$7:$D$64,3,FALSE),"")</x:f>
        <x:v>Par</x:v>
      </x:c>
      <x:c r="E304" s="76" t="s">
        <x:v>146</x:v>
      </x:c>
      <x:c r="F304" s="76">
        <x:v>1</x:v>
      </x:c>
      <x:c r="G304" s="71"/>
    </x:row>
    <x:row r="305">
      <x:c r="A305" s="74">
        <x:v>46114</x:v>
      </x:c>
      <x:c r="B305" s="76" t="s">
        <x:v>78</x:v>
      </x:c>
      <x:c r="C305" s="76" t="str">
        <x:f>IFERROR(VLOOKUP(B305,EPP!$B$7:$D$64,2,FALSE),"")</x:f>
        <x:v>GUANTE KIM- NITRILO ARENADO T9</x:v>
      </x:c>
      <x:c r="D305" s="76" t="str">
        <x:f>IFERROR(VLOOKUP(B305,EPP!$B$7:$D$64,3,FALSE),"")</x:f>
        <x:v>Par</x:v>
      </x:c>
      <x:c r="E305" s="76" t="s">
        <x:v>158</x:v>
      </x:c>
      <x:c r="F305" s="76">
        <x:v>1</x:v>
      </x:c>
      <x:c r="G305" s="71"/>
    </x:row>
    <x:row r="306">
      <x:c r="A306" s="74">
        <x:v>46114</x:v>
      </x:c>
      <x:c r="B306" s="76" t="s">
        <x:v>29</x:v>
      </x:c>
      <x:c r="C306" s="76" t="str">
        <x:f>IFERROR(VLOOKUP(B306,EPP!$B$7:$D$64,2,FALSE),"")</x:f>
        <x:v>GAFAS LENTE CLARO</x:v>
      </x:c>
      <x:c r="D306" s="76" t="str">
        <x:f>IFERROR(VLOOKUP(B306,EPP!$B$7:$D$64,3,FALSE),"")</x:f>
        <x:v>Unidad </x:v>
      </x:c>
      <x:c r="E306" s="76" t="s">
        <x:v>145</x:v>
      </x:c>
      <x:c r="F306" s="76">
        <x:v>1</x:v>
      </x:c>
      <x:c r="G306" s="71"/>
    </x:row>
    <x:row r="307">
      <x:c r="A307" s="74">
        <x:v>46115</x:v>
      </x:c>
      <x:c r="B307" s="76" t="s">
        <x:v>78</x:v>
      </x:c>
      <x:c r="C307" s="76" t="str">
        <x:f>IFERROR(VLOOKUP(B307,EPP!$B$7:$D$64,2,FALSE),"")</x:f>
        <x:v>GUANTE KIM- NITRILO ARENADO T9</x:v>
      </x:c>
      <x:c r="D307" s="76" t="str">
        <x:f>IFERROR(VLOOKUP(B307,EPP!$B$7:$D$64,3,FALSE),"")</x:f>
        <x:v>Par</x:v>
      </x:c>
      <x:c r="E307" s="76" t="s">
        <x:v>142</x:v>
      </x:c>
      <x:c r="F307" s="76">
        <x:v>1</x:v>
      </x:c>
      <x:c r="G307" s="71"/>
    </x:row>
    <x:row r="308">
      <x:c r="A308" s="74">
        <x:v>46115</x:v>
      </x:c>
      <x:c r="B308" s="76" t="s">
        <x:v>78</x:v>
      </x:c>
      <x:c r="C308" s="76" t="str">
        <x:f>IFERROR(VLOOKUP(B308,EPP!$B$7:$D$64,2,FALSE),"")</x:f>
        <x:v>GUANTE KIM- NITRILO ARENADO T9</x:v>
      </x:c>
      <x:c r="D308" s="76" t="str">
        <x:f>IFERROR(VLOOKUP(B308,EPP!$B$7:$D$64,3,FALSE),"")</x:f>
        <x:v>Par</x:v>
      </x:c>
      <x:c r="E308" s="76" t="s">
        <x:v>143</x:v>
      </x:c>
      <x:c r="F308" s="76">
        <x:v>1</x:v>
      </x:c>
      <x:c r="G308" s="71"/>
    </x:row>
    <x:row r="309">
      <x:c r="A309" s="74">
        <x:v>46116</x:v>
      </x:c>
      <x:c r="B309" s="76" t="s">
        <x:v>78</x:v>
      </x:c>
      <x:c r="C309" s="76" t="str">
        <x:f>IFERROR(VLOOKUP(B309,EPP!$B$7:$D$64,2,FALSE),"")</x:f>
        <x:v>GUANTE KIM- NITRILO ARENADO T9</x:v>
      </x:c>
      <x:c r="D309" s="76" t="str">
        <x:f>IFERROR(VLOOKUP(B309,EPP!$B$7:$D$64,3,FALSE),"")</x:f>
        <x:v>Par</x:v>
      </x:c>
      <x:c r="E309" s="76" t="s">
        <x:v>157</x:v>
      </x:c>
      <x:c r="F309" s="76">
        <x:v>1</x:v>
      </x:c>
      <x:c r="G309" s="71"/>
    </x:row>
    <x:row r="310">
      <x:c r="A310" s="74">
        <x:v>46116</x:v>
      </x:c>
      <x:c r="B310" s="76" t="s">
        <x:v>76</x:v>
      </x:c>
      <x:c r="C310" s="76" t="str">
        <x:f>IFERROR(VLOOKUP(B310,EPP!$B$7:$D$64,2,FALSE),"")</x:f>
        <x:v>GUANTE KIM- NITRILO ARENADO T8</x:v>
      </x:c>
      <x:c r="D310" s="76" t="str">
        <x:f>IFERROR(VLOOKUP(B310,EPP!$B$7:$D$64,3,FALSE),"")</x:f>
        <x:v>Par</x:v>
      </x:c>
      <x:c r="E310" s="76" t="s">
        <x:v>153</x:v>
      </x:c>
      <x:c r="F310" s="76">
        <x:v>1</x:v>
      </x:c>
      <x:c r="G310" s="71"/>
    </x:row>
    <x:row r="311">
      <x:c r="A311" s="74">
        <x:v>46117</x:v>
      </x:c>
      <x:c r="B311" s="76" t="s">
        <x:v>27</x:v>
      </x:c>
      <x:c r="C311" s="76" t="str">
        <x:f>IFERROR(VLOOKUP(B311,EPP!$B$7:$D$64,2,FALSE),"")</x:f>
        <x:v>GAFAS LENTE OSCURO</x:v>
      </x:c>
      <x:c r="D311" s="76" t="str">
        <x:f>IFERROR(VLOOKUP(B311,EPP!$B$7:$D$64,3,FALSE),"")</x:f>
        <x:v>Unidad </x:v>
      </x:c>
      <x:c r="E311" s="76" t="s">
        <x:v>162</x:v>
      </x:c>
      <x:c r="F311" s="76">
        <x:v>1</x:v>
      </x:c>
      <x:c r="G311" s="71"/>
    </x:row>
    <x:row r="312">
      <x:c r="A312" s="74">
        <x:v>46117</x:v>
      </x:c>
      <x:c r="B312" s="76" t="s">
        <x:v>29</x:v>
      </x:c>
      <x:c r="C312" s="76" t="str">
        <x:f>IFERROR(VLOOKUP(B312,EPP!$B$7:$D$64,2,FALSE),"")</x:f>
        <x:v>GAFAS LENTE CLARO</x:v>
      </x:c>
      <x:c r="D312" s="76" t="str">
        <x:f>IFERROR(VLOOKUP(B312,EPP!$B$7:$D$64,3,FALSE),"")</x:f>
        <x:v>Unidad </x:v>
      </x:c>
      <x:c r="E312" s="76" t="s">
        <x:v>147</x:v>
      </x:c>
      <x:c r="F312" s="76">
        <x:v>1</x:v>
      </x:c>
      <x:c r="G312" s="71"/>
    </x:row>
    <x:row r="313">
      <x:c r="A313" s="74">
        <x:v>46117</x:v>
      </x:c>
      <x:c r="B313" s="76" t="s">
        <x:v>78</x:v>
      </x:c>
      <x:c r="C313" s="76" t="str">
        <x:f>IFERROR(VLOOKUP(B313,EPP!$B$7:$D$64,2,FALSE),"")</x:f>
        <x:v>GUANTE KIM- NITRILO ARENADO T9</x:v>
      </x:c>
      <x:c r="D313" s="76" t="str">
        <x:f>IFERROR(VLOOKUP(B313,EPP!$B$7:$D$64,3,FALSE),"")</x:f>
        <x:v>Par</x:v>
      </x:c>
      <x:c r="E313" s="76" t="s">
        <x:v>147</x:v>
      </x:c>
      <x:c r="F313" s="76">
        <x:v>1</x:v>
      </x:c>
      <x:c r="G313" s="71"/>
    </x:row>
    <x:row r="314">
      <x:c r="A314" s="74">
        <x:v>46117</x:v>
      </x:c>
      <x:c r="B314" s="76" t="s">
        <x:v>78</x:v>
      </x:c>
      <x:c r="C314" s="76" t="str">
        <x:f>IFERROR(VLOOKUP(B314,EPP!$B$7:$D$64,2,FALSE),"")</x:f>
        <x:v>GUANTE KIM- NITRILO ARENADO T9</x:v>
      </x:c>
      <x:c r="D314" s="76" t="str">
        <x:f>IFERROR(VLOOKUP(B314,EPP!$B$7:$D$64,3,FALSE),"")</x:f>
        <x:v>Par</x:v>
      </x:c>
      <x:c r="E314" s="76" t="s">
        <x:v>162</x:v>
      </x:c>
      <x:c r="F314" s="76">
        <x:v>1</x:v>
      </x:c>
      <x:c r="G314" s="71"/>
    </x:row>
    <x:row r="315">
      <x:c r="A315" s="74">
        <x:v>46117</x:v>
      </x:c>
      <x:c r="B315" s="76" t="s">
        <x:v>78</x:v>
      </x:c>
      <x:c r="C315" s="76" t="str">
        <x:f>IFERROR(VLOOKUP(B315,EPP!$B$7:$D$64,2,FALSE),"")</x:f>
        <x:v>GUANTE KIM- NITRILO ARENADO T9</x:v>
      </x:c>
      <x:c r="D315" s="76" t="str">
        <x:f>IFERROR(VLOOKUP(B315,EPP!$B$7:$D$64,3,FALSE),"")</x:f>
        <x:v>Par</x:v>
      </x:c>
      <x:c r="E315" s="76" t="s">
        <x:v>170</x:v>
      </x:c>
      <x:c r="F315" s="76">
        <x:v>1</x:v>
      </x:c>
      <x:c r="G315" s="71"/>
    </x:row>
    <x:row r="316">
      <x:c r="A316" s="74">
        <x:v>46117</x:v>
      </x:c>
      <x:c r="B316" s="76" t="s">
        <x:v>27</x:v>
      </x:c>
      <x:c r="C316" s="76" t="str">
        <x:f>IFERROR(VLOOKUP(B316,EPP!$B$7:$D$64,2,FALSE),"")</x:f>
        <x:v>GAFAS LENTE OSCURO</x:v>
      </x:c>
      <x:c r="D316" s="76" t="str">
        <x:f>IFERROR(VLOOKUP(B316,EPP!$B$7:$D$64,3,FALSE),"")</x:f>
        <x:v>Unidad </x:v>
      </x:c>
      <x:c r="E316" s="76" t="s">
        <x:v>166</x:v>
      </x:c>
      <x:c r="F316" s="76">
        <x:v>1</x:v>
      </x:c>
      <x:c r="G316" s="71"/>
    </x:row>
    <x:row r="317">
      <x:c r="A317" s="74">
        <x:v>46117</x:v>
      </x:c>
      <x:c r="B317" s="76" t="s">
        <x:v>27</x:v>
      </x:c>
      <x:c r="C317" s="76" t="str">
        <x:f>IFERROR(VLOOKUP(B317,EPP!$B$7:$D$64,2,FALSE),"")</x:f>
        <x:v>GAFAS LENTE OSCURO</x:v>
      </x:c>
      <x:c r="D317" s="76" t="str">
        <x:f>IFERROR(VLOOKUP(B317,EPP!$B$7:$D$64,3,FALSE),"")</x:f>
        <x:v>Unidad </x:v>
      </x:c>
      <x:c r="E317" s="76" t="s">
        <x:v>169</x:v>
      </x:c>
      <x:c r="F317" s="76">
        <x:v>1</x:v>
      </x:c>
      <x:c r="G317" s="71"/>
    </x:row>
    <x:row r="318">
      <x:c r="A318" s="74">
        <x:v>46118</x:v>
      </x:c>
      <x:c r="B318" s="76" t="s">
        <x:v>78</x:v>
      </x:c>
      <x:c r="C318" s="76" t="str">
        <x:f>IFERROR(VLOOKUP(B318,EPP!$B$7:$D$64,2,FALSE),"")</x:f>
        <x:v>GUANTE KIM- NITRILO ARENADO T9</x:v>
      </x:c>
      <x:c r="D318" s="76" t="str">
        <x:f>IFERROR(VLOOKUP(B318,EPP!$B$7:$D$64,3,FALSE),"")</x:f>
        <x:v>Par</x:v>
      </x:c>
      <x:c r="E318" s="76" t="s">
        <x:v>149</x:v>
      </x:c>
      <x:c r="F318" s="76">
        <x:v>1</x:v>
      </x:c>
      <x:c r="G318" s="71"/>
    </x:row>
    <x:row r="319">
      <x:c r="A319" s="74">
        <x:v>46118</x:v>
      </x:c>
      <x:c r="B319" s="76" t="s">
        <x:v>46</x:v>
      </x:c>
      <x:c r="C319" s="76" t="str">
        <x:f>IFERROR(VLOOKUP(B319,EPP!$B$7:$D$64,2,FALSE),"")</x:f>
        <x:v>RESPIRADOR KN95</x:v>
      </x:c>
      <x:c r="D319" s="76" t="str">
        <x:f>IFERROR(VLOOKUP(B319,EPP!$B$7:$D$64,3,FALSE),"")</x:f>
        <x:v>Unidad </x:v>
      </x:c>
      <x:c r="E319" s="76" t="s">
        <x:v>178</x:v>
      </x:c>
      <x:c r="F319" s="76">
        <x:v>1</x:v>
      </x:c>
      <x:c r="G319" s="71"/>
    </x:row>
    <x:row r="320">
      <x:c r="A320" s="74">
        <x:v>46118</x:v>
      </x:c>
      <x:c r="B320" s="76" t="s">
        <x:v>46</x:v>
      </x:c>
      <x:c r="C320" s="76" t="str">
        <x:f>IFERROR(VLOOKUP(B320,EPP!$B$7:$D$64,2,FALSE),"")</x:f>
        <x:v>RESPIRADOR KN95</x:v>
      </x:c>
      <x:c r="D320" s="76" t="str">
        <x:f>IFERROR(VLOOKUP(B320,EPP!$B$7:$D$64,3,FALSE),"")</x:f>
        <x:v>Unidad </x:v>
      </x:c>
      <x:c r="E320" s="76" t="s">
        <x:v>179</x:v>
      </x:c>
      <x:c r="F320" s="76">
        <x:v>1</x:v>
      </x:c>
      <x:c r="G320" s="71"/>
    </x:row>
    <x:row r="321">
      <x:c r="A321" s="74">
        <x:v>46118</x:v>
      </x:c>
      <x:c r="B321" s="76" t="s">
        <x:v>46</x:v>
      </x:c>
      <x:c r="C321" s="76" t="str">
        <x:f>IFERROR(VLOOKUP(B321,EPP!$B$7:$D$64,2,FALSE),"")</x:f>
        <x:v>RESPIRADOR KN95</x:v>
      </x:c>
      <x:c r="D321" s="76" t="str">
        <x:f>IFERROR(VLOOKUP(B321,EPP!$B$7:$D$64,3,FALSE),"")</x:f>
        <x:v>Unidad </x:v>
      </x:c>
      <x:c r="E321" s="76" t="s">
        <x:v>180</x:v>
      </x:c>
      <x:c r="F321" s="76">
        <x:v>1</x:v>
      </x:c>
      <x:c r="G321" s="71"/>
    </x:row>
    <x:row r="322">
      <x:c r="A322" s="74">
        <x:v>46118</x:v>
      </x:c>
      <x:c r="B322" s="76" t="s">
        <x:v>46</x:v>
      </x:c>
      <x:c r="C322" s="76" t="str">
        <x:f>IFERROR(VLOOKUP(B322,EPP!$B$7:$D$64,2,FALSE),"")</x:f>
        <x:v>RESPIRADOR KN95</x:v>
      </x:c>
      <x:c r="D322" s="76" t="str">
        <x:f>IFERROR(VLOOKUP(B322,EPP!$B$7:$D$64,3,FALSE),"")</x:f>
        <x:v>Unidad </x:v>
      </x:c>
      <x:c r="E322" s="76" t="s">
        <x:v>181</x:v>
      </x:c>
      <x:c r="F322" s="76">
        <x:v>1</x:v>
      </x:c>
      <x:c r="G322" s="71"/>
    </x:row>
    <x:row r="323">
      <x:c r="A323" s="74">
        <x:v>46118</x:v>
      </x:c>
      <x:c r="B323" s="76" t="s">
        <x:v>46</x:v>
      </x:c>
      <x:c r="C323" s="76" t="str">
        <x:f>IFERROR(VLOOKUP(B323,EPP!$B$7:$D$64,2,FALSE),"")</x:f>
        <x:v>RESPIRADOR KN95</x:v>
      </x:c>
      <x:c r="D323" s="76" t="str">
        <x:f>IFERROR(VLOOKUP(B323,EPP!$B$7:$D$64,3,FALSE),"")</x:f>
        <x:v>Unidad </x:v>
      </x:c>
      <x:c r="E323" s="76" t="s">
        <x:v>182</x:v>
      </x:c>
      <x:c r="F323" s="76">
        <x:v>1</x:v>
      </x:c>
      <x:c r="G323" s="71"/>
    </x:row>
    <x:row r="324">
      <x:c r="A324" s="74">
        <x:v>46118</x:v>
      </x:c>
      <x:c r="B324" s="76" t="s">
        <x:v>46</x:v>
      </x:c>
      <x:c r="C324" s="76" t="str">
        <x:f>IFERROR(VLOOKUP(B324,EPP!$B$7:$D$64,2,FALSE),"")</x:f>
        <x:v>RESPIRADOR KN95</x:v>
      </x:c>
      <x:c r="D324" s="76" t="str">
        <x:f>IFERROR(VLOOKUP(B324,EPP!$B$7:$D$64,3,FALSE),"")</x:f>
        <x:v>Unidad </x:v>
      </x:c>
      <x:c r="E324" s="76" t="s">
        <x:v>183</x:v>
      </x:c>
      <x:c r="F324" s="76">
        <x:v>1</x:v>
      </x:c>
      <x:c r="G324" s="71"/>
    </x:row>
    <x:row r="325">
      <x:c r="A325" s="74">
        <x:v>46118</x:v>
      </x:c>
      <x:c r="B325" s="76" t="s">
        <x:v>46</x:v>
      </x:c>
      <x:c r="C325" s="76" t="str">
        <x:f>IFERROR(VLOOKUP(B325,EPP!$B$7:$D$64,2,FALSE),"")</x:f>
        <x:v>RESPIRADOR KN95</x:v>
      </x:c>
      <x:c r="D325" s="76" t="str">
        <x:f>IFERROR(VLOOKUP(B325,EPP!$B$7:$D$64,3,FALSE),"")</x:f>
        <x:v>Unidad </x:v>
      </x:c>
      <x:c r="E325" s="76" t="s">
        <x:v>184</x:v>
      </x:c>
      <x:c r="F325" s="76">
        <x:v>1</x:v>
      </x:c>
      <x:c r="G325" s="71"/>
    </x:row>
    <x:row r="326">
      <x:c r="A326" s="74">
        <x:v>46118</x:v>
      </x:c>
      <x:c r="B326" s="76" t="s">
        <x:v>82</x:v>
      </x:c>
      <x:c r="C326" s="76" t="str">
        <x:f>IFERROR(VLOOKUP(B326,EPP!$B$7:$D$64,2,FALSE),"")</x:f>
        <x:v>GUANTE ANTIIMPACTO LINK XL</x:v>
      </x:c>
      <x:c r="D326" s="76" t="str">
        <x:f>IFERROR(VLOOKUP(B326,EPP!$B$7:$D$64,3,FALSE),"")</x:f>
        <x:v>Par</x:v>
      </x:c>
      <x:c r="E326" s="76" t="s">
        <x:v>149</x:v>
      </x:c>
      <x:c r="F326" s="76">
        <x:v>1</x:v>
      </x:c>
      <x:c r="G326" s="71"/>
    </x:row>
    <x:row r="327">
      <x:c r="A327" s="74">
        <x:v>46118</x:v>
      </x:c>
      <x:c r="B327" s="76" t="s">
        <x:v>82</x:v>
      </x:c>
      <x:c r="C327" s="76" t="str">
        <x:f>IFERROR(VLOOKUP(B327,EPP!$B$7:$D$64,2,FALSE),"")</x:f>
        <x:v>GUANTE ANTIIMPACTO LINK XL</x:v>
      </x:c>
      <x:c r="D327" s="76" t="str">
        <x:f>IFERROR(VLOOKUP(B327,EPP!$B$7:$D$64,3,FALSE),"")</x:f>
        <x:v>Par</x:v>
      </x:c>
      <x:c r="E327" s="76" t="s">
        <x:v>147</x:v>
      </x:c>
      <x:c r="F327" s="76">
        <x:v>1</x:v>
      </x:c>
      <x:c r="G327" s="71"/>
    </x:row>
    <x:row r="328">
      <x:c r="A328" s="74">
        <x:v>46118</x:v>
      </x:c>
      <x:c r="B328" s="76" t="s">
        <x:v>88</x:v>
      </x:c>
      <x:c r="C328" s="76" t="str">
        <x:f>IFERROR(VLOOKUP(B328,EPP!$B$7:$D$64,2,FALSE),"")</x:f>
        <x:v>PROTECTOR AUDITIVO INSERCIÓN</x:v>
      </x:c>
      <x:c r="D328" s="76" t="str">
        <x:f>IFERROR(VLOOKUP(B328,EPP!$B$7:$D$64,3,FALSE),"")</x:f>
        <x:v>Unidad </x:v>
      </x:c>
      <x:c r="E328" s="76" t="s">
        <x:v>152</x:v>
      </x:c>
      <x:c r="F328" s="76">
        <x:v>1</x:v>
      </x:c>
      <x:c r="G328" s="71"/>
    </x:row>
    <x:row r="329">
      <x:c r="A329" s="74">
        <x:v>46118</x:v>
      </x:c>
      <x:c r="B329" s="76" t="s">
        <x:v>21</x:v>
      </x:c>
      <x:c r="C329" s="76" t="str">
        <x:f>IFERROR(VLOOKUP(B329,EPP!$B$7:$D$64,2,FALSE),"")</x:f>
        <x:v>SOMBRERO TIPO SAFARY</x:v>
      </x:c>
      <x:c r="D329" s="76" t="str">
        <x:f>IFERROR(VLOOKUP(B329,EPP!$B$7:$D$64,3,FALSE),"")</x:f>
        <x:v>Unidad </x:v>
      </x:c>
      <x:c r="E329" s="76" t="s">
        <x:v>145</x:v>
      </x:c>
      <x:c r="F329" s="76">
        <x:v>1</x:v>
      </x:c>
      <x:c r="G329" s="71"/>
    </x:row>
    <x:row r="330">
      <x:c r="A330" s="74">
        <x:v>46119</x:v>
      </x:c>
      <x:c r="B330" s="76" t="s">
        <x:v>27</x:v>
      </x:c>
      <x:c r="C330" s="76" t="str">
        <x:f>IFERROR(VLOOKUP(B330,EPP!$B$7:$D$64,2,FALSE),"")</x:f>
        <x:v>GAFAS LENTE OSCURO</x:v>
      </x:c>
      <x:c r="D330" s="76" t="str">
        <x:f>IFERROR(VLOOKUP(B330,EPP!$B$7:$D$64,3,FALSE),"")</x:f>
        <x:v>Unidad </x:v>
      </x:c>
      <x:c r="E330" s="76" t="s">
        <x:v>147</x:v>
      </x:c>
      <x:c r="F330" s="76">
        <x:v>1</x:v>
      </x:c>
      <x:c r="G330" s="71"/>
    </x:row>
    <x:row r="331">
      <x:c r="A331" s="74">
        <x:v>46119</x:v>
      </x:c>
      <x:c r="B331" s="76" t="s">
        <x:v>116</x:v>
      </x:c>
      <x:c r="C331" s="76" t="str">
        <x:f>IFERROR(VLOOKUP(B331,EPP!$B$7:$D$64,2,FALSE),"")</x:f>
        <x:v>OVEROL DESCARTABLE TL</x:v>
      </x:c>
      <x:c r="D331" s="76" t="str">
        <x:f>IFERROR(VLOOKUP(B331,EPP!$B$7:$D$64,3,FALSE),"")</x:f>
        <x:v>Unidad </x:v>
      </x:c>
      <x:c r="E331" s="76" t="s">
        <x:v>150</x:v>
      </x:c>
      <x:c r="F331" s="76">
        <x:v>1</x:v>
      </x:c>
      <x:c r="G331" s="71"/>
    </x:row>
    <x:row r="332">
      <x:c r="A332" s="74">
        <x:v>46119</x:v>
      </x:c>
      <x:c r="B332" s="76" t="s">
        <x:v>116</x:v>
      </x:c>
      <x:c r="C332" s="76" t="str">
        <x:f>IFERROR(VLOOKUP(B332,EPP!$B$7:$D$64,2,FALSE),"")</x:f>
        <x:v>OVEROL DESCARTABLE TL</x:v>
      </x:c>
      <x:c r="D332" s="76" t="str">
        <x:f>IFERROR(VLOOKUP(B332,EPP!$B$7:$D$64,3,FALSE),"")</x:f>
        <x:v>Unidad </x:v>
      </x:c>
      <x:c r="E332" s="76" t="s">
        <x:v>185</x:v>
      </x:c>
      <x:c r="F332" s="76">
        <x:v>1</x:v>
      </x:c>
      <x:c r="G332" s="71"/>
    </x:row>
    <x:row r="333">
      <x:c r="A333" s="74">
        <x:v>46119</x:v>
      </x:c>
      <x:c r="B333" s="76" t="s">
        <x:v>116</x:v>
      </x:c>
      <x:c r="C333" s="76" t="str">
        <x:f>IFERROR(VLOOKUP(B333,EPP!$B$7:$D$64,2,FALSE),"")</x:f>
        <x:v>OVEROL DESCARTABLE TL</x:v>
      </x:c>
      <x:c r="D333" s="76" t="str">
        <x:f>IFERROR(VLOOKUP(B333,EPP!$B$7:$D$64,3,FALSE),"")</x:f>
        <x:v>Unidad </x:v>
      </x:c>
      <x:c r="E333" s="76" t="s">
        <x:v>142</x:v>
      </x:c>
      <x:c r="F333" s="76">
        <x:v>1</x:v>
      </x:c>
      <x:c r="G333" s="71"/>
    </x:row>
    <x:row r="334">
      <x:c r="A334" s="74">
        <x:v>46119</x:v>
      </x:c>
      <x:c r="B334" s="76" t="s">
        <x:v>116</x:v>
      </x:c>
      <x:c r="C334" s="76" t="str">
        <x:f>IFERROR(VLOOKUP(B334,EPP!$B$7:$D$64,2,FALSE),"")</x:f>
        <x:v>OVEROL DESCARTABLE TL</x:v>
      </x:c>
      <x:c r="D334" s="76" t="str">
        <x:f>IFERROR(VLOOKUP(B334,EPP!$B$7:$D$64,3,FALSE),"")</x:f>
        <x:v>Unidad </x:v>
      </x:c>
      <x:c r="E334" s="76" t="s">
        <x:v>157</x:v>
      </x:c>
      <x:c r="F334" s="76">
        <x:v>1</x:v>
      </x:c>
      <x:c r="G334" s="71"/>
    </x:row>
    <x:row r="335">
      <x:c r="A335" s="74">
        <x:v>46119</x:v>
      </x:c>
      <x:c r="B335" s="76" t="s">
        <x:v>116</x:v>
      </x:c>
      <x:c r="C335" s="76" t="str">
        <x:f>IFERROR(VLOOKUP(B335,EPP!$B$7:$D$64,2,FALSE),"")</x:f>
        <x:v>OVEROL DESCARTABLE TL</x:v>
      </x:c>
      <x:c r="D335" s="76" t="str">
        <x:f>IFERROR(VLOOKUP(B335,EPP!$B$7:$D$64,3,FALSE),"")</x:f>
        <x:v>Unidad </x:v>
      </x:c>
      <x:c r="E335" s="76" t="s">
        <x:v>146</x:v>
      </x:c>
      <x:c r="F335" s="76">
        <x:v>1</x:v>
      </x:c>
      <x:c r="G335" s="71"/>
    </x:row>
    <x:row r="336">
      <x:c r="A336" s="74">
        <x:v>46119</x:v>
      </x:c>
      <x:c r="B336" s="76" t="s">
        <x:v>76</x:v>
      </x:c>
      <x:c r="C336" s="76" t="str">
        <x:f>IFERROR(VLOOKUP(B336,EPP!$B$7:$D$64,2,FALSE),"")</x:f>
        <x:v>GUANTE KIM- NITRILO ARENADO T8</x:v>
      </x:c>
      <x:c r="D336" s="76" t="str">
        <x:f>IFERROR(VLOOKUP(B336,EPP!$B$7:$D$64,3,FALSE),"")</x:f>
        <x:v>Par</x:v>
      </x:c>
      <x:c r="E336" s="76" t="s">
        <x:v>185</x:v>
      </x:c>
      <x:c r="F336" s="76">
        <x:v>1</x:v>
      </x:c>
      <x:c r="G336" s="71"/>
    </x:row>
    <x:row r="337">
      <x:c r="A337" s="74">
        <x:v>46120</x:v>
      </x:c>
      <x:c r="B337" s="76" t="s">
        <x:v>78</x:v>
      </x:c>
      <x:c r="C337" s="76" t="str">
        <x:f>IFERROR(VLOOKUP(B337,EPP!$B$7:$D$64,2,FALSE),"")</x:f>
        <x:v>GUANTE KIM- NITRILO ARENADO T9</x:v>
      </x:c>
      <x:c r="D337" s="76" t="str">
        <x:f>IFERROR(VLOOKUP(B337,EPP!$B$7:$D$64,3,FALSE),"")</x:f>
        <x:v>Par</x:v>
      </x:c>
      <x:c r="E337" s="76" t="s">
        <x:v>151</x:v>
      </x:c>
      <x:c r="F337" s="76">
        <x:v>1</x:v>
      </x:c>
      <x:c r="G337" s="71"/>
    </x:row>
    <x:row r="338">
      <x:c r="A338" s="74">
        <x:v>46120</x:v>
      </x:c>
      <x:c r="B338" s="76" t="s">
        <x:v>29</x:v>
      </x:c>
      <x:c r="C338" s="76" t="str">
        <x:f>IFERROR(VLOOKUP(B338,EPP!$B$7:$D$64,2,FALSE),"")</x:f>
        <x:v>GAFAS LENTE CLARO</x:v>
      </x:c>
      <x:c r="D338" s="76" t="str">
        <x:f>IFERROR(VLOOKUP(B338,EPP!$B$7:$D$64,3,FALSE),"")</x:f>
        <x:v>Unidad </x:v>
      </x:c>
      <x:c r="E338" s="76" t="s">
        <x:v>154</x:v>
      </x:c>
      <x:c r="F338" s="76">
        <x:v>1</x:v>
      </x:c>
      <x:c r="G338" s="71"/>
    </x:row>
    <x:row r="339">
      <x:c r="A339" s="74">
        <x:v>46120</x:v>
      </x:c>
      <x:c r="B339" s="76" t="s">
        <x:v>52</x:v>
      </x:c>
      <x:c r="C339" s="76" t="str">
        <x:f>IFERROR(VLOOKUP(B339,EPP!$B$7:$D$64,2,FALSE),"")</x:f>
        <x:v>GUANTES DE NITRILO TL</x:v>
      </x:c>
      <x:c r="D339" s="76" t="str">
        <x:f>IFERROR(VLOOKUP(B339,EPP!$B$7:$D$64,3,FALSE),"")</x:f>
        <x:v>Par</x:v>
      </x:c>
      <x:c r="E339" s="76" t="s">
        <x:v>150</x:v>
      </x:c>
      <x:c r="F339" s="76">
        <x:v>1</x:v>
      </x:c>
      <x:c r="G339" s="71"/>
    </x:row>
    <x:row r="340">
      <x:c r="A340" s="74">
        <x:v>46120</x:v>
      </x:c>
      <x:c r="B340" s="76" t="s">
        <x:v>52</x:v>
      </x:c>
      <x:c r="C340" s="76" t="str">
        <x:f>IFERROR(VLOOKUP(B340,EPP!$B$7:$D$64,2,FALSE),"")</x:f>
        <x:v>GUANTES DE NITRILO TL</x:v>
      </x:c>
      <x:c r="D340" s="76" t="str">
        <x:f>IFERROR(VLOOKUP(B340,EPP!$B$7:$D$64,3,FALSE),"")</x:f>
        <x:v>Par</x:v>
      </x:c>
      <x:c r="E340" s="76" t="s">
        <x:v>162</x:v>
      </x:c>
      <x:c r="F340" s="76">
        <x:v>1</x:v>
      </x:c>
      <x:c r="G340" s="71"/>
    </x:row>
    <x:row r="341">
      <x:c r="A341" s="74">
        <x:v>46120</x:v>
      </x:c>
      <x:c r="B341" s="76" t="s">
        <x:v>52</x:v>
      </x:c>
      <x:c r="C341" s="76" t="str">
        <x:f>IFERROR(VLOOKUP(B341,EPP!$B$7:$D$64,2,FALSE),"")</x:f>
        <x:v>GUANTES DE NITRILO TL</x:v>
      </x:c>
      <x:c r="D341" s="76" t="str">
        <x:f>IFERROR(VLOOKUP(B341,EPP!$B$7:$D$64,3,FALSE),"")</x:f>
        <x:v>Par</x:v>
      </x:c>
      <x:c r="E341" s="76" t="s">
        <x:v>151</x:v>
      </x:c>
      <x:c r="F341" s="76">
        <x:v>1</x:v>
      </x:c>
      <x:c r="G341" s="71"/>
    </x:row>
    <x:row r="342">
      <x:c r="A342" s="74">
        <x:v>46120</x:v>
      </x:c>
      <x:c r="B342" s="76" t="s">
        <x:v>52</x:v>
      </x:c>
      <x:c r="C342" s="76" t="str">
        <x:f>IFERROR(VLOOKUP(B342,EPP!$B$7:$D$64,2,FALSE),"")</x:f>
        <x:v>GUANTES DE NITRILO TL</x:v>
      </x:c>
      <x:c r="D342" s="76" t="str">
        <x:f>IFERROR(VLOOKUP(B342,EPP!$B$7:$D$64,3,FALSE),"")</x:f>
        <x:v>Par</x:v>
      </x:c>
      <x:c r="E342" s="76" t="s">
        <x:v>142</x:v>
      </x:c>
      <x:c r="F342" s="76">
        <x:v>1</x:v>
      </x:c>
      <x:c r="G342" s="71"/>
    </x:row>
    <x:row r="343">
      <x:c r="A343" s="74">
        <x:v>46121</x:v>
      </x:c>
      <x:c r="B343" s="76" t="s">
        <x:v>27</x:v>
      </x:c>
      <x:c r="C343" s="76" t="str">
        <x:f>IFERROR(VLOOKUP(B343,EPP!$B$7:$D$64,2,FALSE),"")</x:f>
        <x:v>GAFAS LENTE OSCURO</x:v>
      </x:c>
      <x:c r="D343" s="76" t="str">
        <x:f>IFERROR(VLOOKUP(B343,EPP!$B$7:$D$64,3,FALSE),"")</x:f>
        <x:v>Unidad </x:v>
      </x:c>
      <x:c r="E343" s="76" t="s">
        <x:v>170</x:v>
      </x:c>
      <x:c r="F343" s="76">
        <x:v>1</x:v>
      </x:c>
      <x:c r="G343" s="71"/>
    </x:row>
    <x:row r="344">
      <x:c r="A344" s="74">
        <x:v>46121</x:v>
      </x:c>
      <x:c r="B344" s="76" t="s">
        <x:v>52</x:v>
      </x:c>
      <x:c r="C344" s="76" t="str">
        <x:f>IFERROR(VLOOKUP(B344,EPP!$B$7:$D$64,2,FALSE),"")</x:f>
        <x:v>GUANTES DE NITRILO TL</x:v>
      </x:c>
      <x:c r="D344" s="76" t="str">
        <x:f>IFERROR(VLOOKUP(B344,EPP!$B$7:$D$64,3,FALSE),"")</x:f>
        <x:v>Par</x:v>
      </x:c>
      <x:c r="E344" s="76" t="s">
        <x:v>161</x:v>
      </x:c>
      <x:c r="F344" s="76">
        <x:v>2</x:v>
      </x:c>
      <x:c r="G344" s="71"/>
    </x:row>
    <x:row r="345">
      <x:c r="A345" s="74">
        <x:v>46121</x:v>
      </x:c>
      <x:c r="B345" s="76" t="s">
        <x:v>52</x:v>
      </x:c>
      <x:c r="C345" s="76" t="str">
        <x:f>IFERROR(VLOOKUP(B345,EPP!$B$7:$D$64,2,FALSE),"")</x:f>
        <x:v>GUANTES DE NITRILO TL</x:v>
      </x:c>
      <x:c r="D345" s="76" t="str">
        <x:f>IFERROR(VLOOKUP(B345,EPP!$B$7:$D$64,3,FALSE),"")</x:f>
        <x:v>Par</x:v>
      </x:c>
      <x:c r="E345" s="76" t="s">
        <x:v>169</x:v>
      </x:c>
      <x:c r="F345" s="76">
        <x:v>1</x:v>
      </x:c>
      <x:c r="G345" s="71"/>
    </x:row>
    <x:row r="346">
      <x:c r="A346" s="74">
        <x:v>46121</x:v>
      </x:c>
      <x:c r="B346" s="76" t="s">
        <x:v>52</x:v>
      </x:c>
      <x:c r="C346" s="76" t="str">
        <x:f>IFERROR(VLOOKUP(B346,EPP!$B$7:$D$64,2,FALSE),"")</x:f>
        <x:v>GUANTES DE NITRILO TL</x:v>
      </x:c>
      <x:c r="D346" s="76" t="str">
        <x:f>IFERROR(VLOOKUP(B346,EPP!$B$7:$D$64,3,FALSE),"")</x:f>
        <x:v>Par</x:v>
      </x:c>
      <x:c r="E346" s="76" t="s">
        <x:v>170</x:v>
      </x:c>
      <x:c r="F346" s="76">
        <x:v>1</x:v>
      </x:c>
      <x:c r="G346" s="71"/>
    </x:row>
    <x:row r="347">
      <x:c r="A347" s="74">
        <x:v>46121</x:v>
      </x:c>
      <x:c r="B347" s="76" t="s">
        <x:v>52</x:v>
      </x:c>
      <x:c r="C347" s="76" t="str">
        <x:f>IFERROR(VLOOKUP(B347,EPP!$B$7:$D$64,2,FALSE),"")</x:f>
        <x:v>GUANTES DE NITRILO TL</x:v>
      </x:c>
      <x:c r="D347" s="76" t="str">
        <x:f>IFERROR(VLOOKUP(B347,EPP!$B$7:$D$64,3,FALSE),"")</x:f>
        <x:v>Par</x:v>
      </x:c>
      <x:c r="E347" s="76" t="s">
        <x:v>150</x:v>
      </x:c>
      <x:c r="F347" s="76">
        <x:v>1</x:v>
      </x:c>
      <x:c r="G347" s="71"/>
    </x:row>
    <x:row r="348">
      <x:c r="A348" s="74">
        <x:v>46121</x:v>
      </x:c>
      <x:c r="B348" s="76" t="s">
        <x:v>52</x:v>
      </x:c>
      <x:c r="C348" s="76" t="str">
        <x:f>IFERROR(VLOOKUP(B348,EPP!$B$7:$D$64,2,FALSE),"")</x:f>
        <x:v>GUANTES DE NITRILO TL</x:v>
      </x:c>
      <x:c r="D348" s="76" t="str">
        <x:f>IFERROR(VLOOKUP(B348,EPP!$B$7:$D$64,3,FALSE),"")</x:f>
        <x:v>Par</x:v>
      </x:c>
      <x:c r="E348" s="76" t="s">
        <x:v>162</x:v>
      </x:c>
      <x:c r="F348" s="76">
        <x:v>1</x:v>
      </x:c>
      <x:c r="G348" s="71"/>
    </x:row>
    <x:row r="349">
      <x:c r="A349" s="74">
        <x:v>46121</x:v>
      </x:c>
      <x:c r="B349" s="76" t="s">
        <x:v>52</x:v>
      </x:c>
      <x:c r="C349" s="76" t="str">
        <x:f>IFERROR(VLOOKUP(B349,EPP!$B$7:$D$64,2,FALSE),"")</x:f>
        <x:v>GUANTES DE NITRILO TL</x:v>
      </x:c>
      <x:c r="D349" s="76" t="str">
        <x:f>IFERROR(VLOOKUP(B349,EPP!$B$7:$D$64,3,FALSE),"")</x:f>
        <x:v>Par</x:v>
      </x:c>
      <x:c r="E349" s="76" t="s">
        <x:v>151</x:v>
      </x:c>
      <x:c r="F349" s="76">
        <x:v>1</x:v>
      </x:c>
      <x:c r="G349" s="71"/>
    </x:row>
    <x:row r="350">
      <x:c r="A350" s="74">
        <x:v>46121</x:v>
      </x:c>
      <x:c r="B350" s="76" t="s">
        <x:v>52</x:v>
      </x:c>
      <x:c r="C350" s="76" t="str">
        <x:f>IFERROR(VLOOKUP(B350,EPP!$B$7:$D$64,2,FALSE),"")</x:f>
        <x:v>GUANTES DE NITRILO TL</x:v>
      </x:c>
      <x:c r="D350" s="76" t="str">
        <x:f>IFERROR(VLOOKUP(B350,EPP!$B$7:$D$64,3,FALSE),"")</x:f>
        <x:v>Par</x:v>
      </x:c>
      <x:c r="E350" s="76" t="s">
        <x:v>142</x:v>
      </x:c>
      <x:c r="F350" s="76">
        <x:v>1</x:v>
      </x:c>
      <x:c r="G350" s="71"/>
    </x:row>
    <x:row r="351">
      <x:c r="A351" s="74">
        <x:v>46122</x:v>
      </x:c>
      <x:c r="B351" s="76" t="s">
        <x:v>52</x:v>
      </x:c>
      <x:c r="C351" s="76" t="str">
        <x:f>IFERROR(VLOOKUP(B351,EPP!$B$7:$D$64,2,FALSE),"")</x:f>
        <x:v>GUANTES DE NITRILO TL</x:v>
      </x:c>
      <x:c r="D351" s="76" t="str">
        <x:f>IFERROR(VLOOKUP(B351,EPP!$B$7:$D$64,3,FALSE),"")</x:f>
        <x:v>Par</x:v>
      </x:c>
      <x:c r="E351" s="76" t="s">
        <x:v>170</x:v>
      </x:c>
      <x:c r="F351" s="76">
        <x:v>1</x:v>
      </x:c>
      <x:c r="G351" s="71"/>
    </x:row>
    <x:row r="352">
      <x:c r="A352" s="74">
        <x:v>46122</x:v>
      </x:c>
      <x:c r="B352" s="76" t="s">
        <x:v>52</x:v>
      </x:c>
      <x:c r="C352" s="76" t="str">
        <x:f>IFERROR(VLOOKUP(B352,EPP!$B$7:$D$64,2,FALSE),"")</x:f>
        <x:v>GUANTES DE NITRILO TL</x:v>
      </x:c>
      <x:c r="D352" s="76" t="str">
        <x:f>IFERROR(VLOOKUP(B352,EPP!$B$7:$D$64,3,FALSE),"")</x:f>
        <x:v>Par</x:v>
      </x:c>
      <x:c r="E352" s="76" t="s">
        <x:v>151</x:v>
      </x:c>
      <x:c r="F352" s="76">
        <x:v>1</x:v>
      </x:c>
      <x:c r="G352" s="71"/>
    </x:row>
    <x:row r="353">
      <x:c r="A353" s="74">
        <x:v>46122</x:v>
      </x:c>
      <x:c r="B353" s="76" t="s">
        <x:v>52</x:v>
      </x:c>
      <x:c r="C353" s="76" t="str">
        <x:f>IFERROR(VLOOKUP(B353,EPP!$B$7:$D$64,2,FALSE),"")</x:f>
        <x:v>GUANTES DE NITRILO TL</x:v>
      </x:c>
      <x:c r="D353" s="76" t="str">
        <x:f>IFERROR(VLOOKUP(B353,EPP!$B$7:$D$64,3,FALSE),"")</x:f>
        <x:v>Par</x:v>
      </x:c>
      <x:c r="E353" s="76" t="s">
        <x:v>169</x:v>
      </x:c>
      <x:c r="F353" s="76">
        <x:v>1</x:v>
      </x:c>
      <x:c r="G353" s="71"/>
    </x:row>
    <x:row r="354">
      <x:c r="A354" s="74">
        <x:v>46122</x:v>
      </x:c>
      <x:c r="B354" s="76" t="s">
        <x:v>88</x:v>
      </x:c>
      <x:c r="C354" s="76" t="str">
        <x:f>IFERROR(VLOOKUP(B354,EPP!$B$7:$D$64,2,FALSE),"")</x:f>
        <x:v>PROTECTOR AUDITIVO INSERCIÓN</x:v>
      </x:c>
      <x:c r="D354" s="76" t="str">
        <x:f>IFERROR(VLOOKUP(B354,EPP!$B$7:$D$64,3,FALSE),"")</x:f>
        <x:v>Unidad </x:v>
      </x:c>
      <x:c r="E354" s="76" t="s">
        <x:v>152</x:v>
      </x:c>
      <x:c r="F354" s="76">
        <x:v>1</x:v>
      </x:c>
      <x:c r="G354" s="71"/>
    </x:row>
    <x:row r="355">
      <x:c r="A355" s="74">
        <x:v>46122</x:v>
      </x:c>
      <x:c r="B355" s="76" t="s">
        <x:v>116</x:v>
      </x:c>
      <x:c r="C355" s="76" t="str">
        <x:f>IFERROR(VLOOKUP(B355,EPP!$B$7:$D$64,2,FALSE),"")</x:f>
        <x:v>OVEROL DESCARTABLE TL</x:v>
      </x:c>
      <x:c r="D355" s="76" t="str">
        <x:f>IFERROR(VLOOKUP(B355,EPP!$B$7:$D$64,3,FALSE),"")</x:f>
        <x:v>Unidad </x:v>
      </x:c>
      <x:c r="E355" s="76" t="s">
        <x:v>146</x:v>
      </x:c>
      <x:c r="F355" s="76">
        <x:v>1</x:v>
      </x:c>
      <x:c r="G355" s="71"/>
    </x:row>
    <x:row r="356">
      <x:c r="A356" s="74">
        <x:v>46122</x:v>
      </x:c>
      <x:c r="B356" s="76" t="s">
        <x:v>116</x:v>
      </x:c>
      <x:c r="C356" s="76" t="str">
        <x:f>IFERROR(VLOOKUP(B356,EPP!$B$7:$D$64,2,FALSE),"")</x:f>
        <x:v>OVEROL DESCARTABLE TL</x:v>
      </x:c>
      <x:c r="D356" s="76" t="str">
        <x:f>IFERROR(VLOOKUP(B356,EPP!$B$7:$D$64,3,FALSE),"")</x:f>
        <x:v>Unidad </x:v>
      </x:c>
      <x:c r="E356" s="76" t="s">
        <x:v>157</x:v>
      </x:c>
      <x:c r="F356" s="76">
        <x:v>1</x:v>
      </x:c>
      <x:c r="G356" s="71"/>
    </x:row>
    <x:row r="357">
      <x:c r="A357" s="74">
        <x:v>46122</x:v>
      </x:c>
      <x:c r="B357" s="76" t="s">
        <x:v>116</x:v>
      </x:c>
      <x:c r="C357" s="76" t="str">
        <x:f>IFERROR(VLOOKUP(B357,EPP!$B$7:$D$64,2,FALSE),"")</x:f>
        <x:v>OVEROL DESCARTABLE TL</x:v>
      </x:c>
      <x:c r="D357" s="76" t="str">
        <x:f>IFERROR(VLOOKUP(B357,EPP!$B$7:$D$64,3,FALSE),"")</x:f>
        <x:v>Unidad </x:v>
      </x:c>
      <x:c r="E357" s="76" t="s">
        <x:v>185</x:v>
      </x:c>
      <x:c r="F357" s="76">
        <x:v>1</x:v>
      </x:c>
      <x:c r="G357" s="71"/>
    </x:row>
    <x:row r="358">
      <x:c r="A358" s="74">
        <x:v>46122</x:v>
      </x:c>
      <x:c r="B358" s="76" t="s">
        <x:v>116</x:v>
      </x:c>
      <x:c r="C358" s="76" t="str">
        <x:f>IFERROR(VLOOKUP(B358,EPP!$B$7:$D$64,2,FALSE),"")</x:f>
        <x:v>OVEROL DESCARTABLE TL</x:v>
      </x:c>
      <x:c r="D358" s="76" t="str">
        <x:f>IFERROR(VLOOKUP(B358,EPP!$B$7:$D$64,3,FALSE),"")</x:f>
        <x:v>Unidad </x:v>
      </x:c>
      <x:c r="E358" s="76" t="s">
        <x:v>142</x:v>
      </x:c>
      <x:c r="F358" s="76">
        <x:v>1</x:v>
      </x:c>
      <x:c r="G358" s="71"/>
    </x:row>
    <x:row r="359">
      <x:c r="A359" s="74">
        <x:v>46123</x:v>
      </x:c>
      <x:c r="B359" s="76" t="s">
        <x:v>116</x:v>
      </x:c>
      <x:c r="C359" s="76" t="str">
        <x:f>IFERROR(VLOOKUP(B359,EPP!$B$7:$D$64,2,FALSE),"")</x:f>
        <x:v>OVEROL DESCARTABLE TL</x:v>
      </x:c>
      <x:c r="D359" s="76" t="str">
        <x:f>IFERROR(VLOOKUP(B359,EPP!$B$7:$D$64,3,FALSE),"")</x:f>
        <x:v>Unidad </x:v>
      </x:c>
      <x:c r="E359" s="76" t="s">
        <x:v>161</x:v>
      </x:c>
      <x:c r="F359" s="76">
        <x:v>1</x:v>
      </x:c>
      <x:c r="G359" s="71"/>
    </x:row>
    <x:row r="360">
      <x:c r="A360" s="74">
        <x:v>46123</x:v>
      </x:c>
      <x:c r="B360" s="76" t="s">
        <x:v>27</x:v>
      </x:c>
      <x:c r="C360" s="76" t="str">
        <x:f>IFERROR(VLOOKUP(B360,EPP!$B$7:$D$64,2,FALSE),"")</x:f>
        <x:v>GAFAS LENTE OSCURO</x:v>
      </x:c>
      <x:c r="D360" s="76" t="str">
        <x:f>IFERROR(VLOOKUP(B360,EPP!$B$7:$D$64,3,FALSE),"")</x:f>
        <x:v>Unidad </x:v>
      </x:c>
      <x:c r="E360" s="76" t="s">
        <x:v>171</x:v>
      </x:c>
      <x:c r="F360" s="76">
        <x:v>1</x:v>
      </x:c>
      <x:c r="G360" s="71"/>
    </x:row>
    <x:row r="361">
      <x:c r="A361" s="74">
        <x:v>46123</x:v>
      </x:c>
      <x:c r="B361" s="76" t="s">
        <x:v>27</x:v>
      </x:c>
      <x:c r="C361" s="76" t="str">
        <x:f>IFERROR(VLOOKUP(B361,EPP!$B$7:$D$64,2,FALSE),"")</x:f>
        <x:v>GAFAS LENTE OSCURO</x:v>
      </x:c>
      <x:c r="D361" s="76" t="str">
        <x:f>IFERROR(VLOOKUP(B361,EPP!$B$7:$D$64,3,FALSE),"")</x:f>
        <x:v>Unidad </x:v>
      </x:c>
      <x:c r="E361" s="76" t="s">
        <x:v>157</x:v>
      </x:c>
      <x:c r="F361" s="76">
        <x:v>1</x:v>
      </x:c>
      <x:c r="G361" s="71"/>
    </x:row>
    <x:row r="362">
      <x:c r="A362" s="74">
        <x:v>46123</x:v>
      </x:c>
      <x:c r="B362" s="76" t="s">
        <x:v>52</x:v>
      </x:c>
      <x:c r="C362" s="76" t="str">
        <x:f>IFERROR(VLOOKUP(B362,EPP!$B$7:$D$64,2,FALSE),"")</x:f>
        <x:v>GUANTES DE NITRILO TL</x:v>
      </x:c>
      <x:c r="D362" s="76" t="str">
        <x:f>IFERROR(VLOOKUP(B362,EPP!$B$7:$D$64,3,FALSE),"")</x:f>
        <x:v>Par</x:v>
      </x:c>
      <x:c r="E362" s="76" t="s">
        <x:v>170</x:v>
      </x:c>
      <x:c r="F362" s="76">
        <x:v>1</x:v>
      </x:c>
      <x:c r="G362" s="71"/>
    </x:row>
    <x:row r="363">
      <x:c r="A363" s="74">
        <x:v>46123</x:v>
      </x:c>
      <x:c r="B363" s="76" t="s">
        <x:v>52</x:v>
      </x:c>
      <x:c r="C363" s="76" t="str">
        <x:f>IFERROR(VLOOKUP(B363,EPP!$B$7:$D$64,2,FALSE),"")</x:f>
        <x:v>GUANTES DE NITRILO TL</x:v>
      </x:c>
      <x:c r="D363" s="76" t="str">
        <x:f>IFERROR(VLOOKUP(B363,EPP!$B$7:$D$64,3,FALSE),"")</x:f>
        <x:v>Par</x:v>
      </x:c>
      <x:c r="E363" s="76" t="s">
        <x:v>169</x:v>
      </x:c>
      <x:c r="F363" s="76">
        <x:v>1</x:v>
      </x:c>
      <x:c r="G363" s="71"/>
    </x:row>
    <x:row r="364">
      <x:c r="A364" s="74">
        <x:v>46124</x:v>
      </x:c>
      <x:c r="B364" s="76" t="s">
        <x:v>29</x:v>
      </x:c>
      <x:c r="C364" s="76" t="str">
        <x:f>IFERROR(VLOOKUP(B364,EPP!$B$7:$D$64,2,FALSE),"")</x:f>
        <x:v>GAFAS LENTE CLARO</x:v>
      </x:c>
      <x:c r="D364" s="76" t="str">
        <x:f>IFERROR(VLOOKUP(B364,EPP!$B$7:$D$64,3,FALSE),"")</x:f>
        <x:v>Unidad </x:v>
      </x:c>
      <x:c r="E364" s="76" t="s">
        <x:v>150</x:v>
      </x:c>
      <x:c r="F364" s="76">
        <x:v>1</x:v>
      </x:c>
      <x:c r="G364" s="71"/>
    </x:row>
    <x:row r="365">
      <x:c r="A365" s="74">
        <x:v>46124</x:v>
      </x:c>
      <x:c r="B365" s="76" t="s">
        <x:v>52</x:v>
      </x:c>
      <x:c r="C365" s="76" t="str">
        <x:f>IFERROR(VLOOKUP(B365,EPP!$B$7:$D$64,2,FALSE),"")</x:f>
        <x:v>GUANTES DE NITRILO TL</x:v>
      </x:c>
      <x:c r="D365" s="76" t="str">
        <x:f>IFERROR(VLOOKUP(B365,EPP!$B$7:$D$64,3,FALSE),"")</x:f>
        <x:v>Par</x:v>
      </x:c>
      <x:c r="E365" s="76" t="s">
        <x:v>169</x:v>
      </x:c>
      <x:c r="F365" s="76">
        <x:v>1</x:v>
      </x:c>
      <x:c r="G365" s="71"/>
    </x:row>
    <x:row r="366">
      <x:c r="A366" s="74">
        <x:v>46124</x:v>
      </x:c>
      <x:c r="B366" s="76" t="s">
        <x:v>52</x:v>
      </x:c>
      <x:c r="C366" s="76" t="str">
        <x:f>IFERROR(VLOOKUP(B366,EPP!$B$7:$D$64,2,FALSE),"")</x:f>
        <x:v>GUANTES DE NITRILO TL</x:v>
      </x:c>
      <x:c r="D366" s="76" t="str">
        <x:f>IFERROR(VLOOKUP(B366,EPP!$B$7:$D$64,3,FALSE),"")</x:f>
        <x:v>Par</x:v>
      </x:c>
      <x:c r="E366" s="76" t="s">
        <x:v>150</x:v>
      </x:c>
      <x:c r="F366" s="76">
        <x:v>1</x:v>
      </x:c>
      <x:c r="G366" s="71"/>
    </x:row>
    <x:row r="367">
      <x:c r="A367" s="74">
        <x:v>46124</x:v>
      </x:c>
      <x:c r="B367" s="76" t="s">
        <x:v>52</x:v>
      </x:c>
      <x:c r="C367" s="76" t="str">
        <x:f>IFERROR(VLOOKUP(B367,EPP!$B$7:$D$64,2,FALSE),"")</x:f>
        <x:v>GUANTES DE NITRILO TL</x:v>
      </x:c>
      <x:c r="D367" s="76" t="str">
        <x:f>IFERROR(VLOOKUP(B367,EPP!$B$7:$D$64,3,FALSE),"")</x:f>
        <x:v>Par</x:v>
      </x:c>
      <x:c r="E367" s="76" t="s">
        <x:v>162</x:v>
      </x:c>
      <x:c r="F367" s="76">
        <x:v>1</x:v>
      </x:c>
      <x:c r="G367" s="71"/>
    </x:row>
    <x:row r="368">
      <x:c r="A368" s="74">
        <x:v>46124</x:v>
      </x:c>
      <x:c r="B368" s="76" t="s">
        <x:v>52</x:v>
      </x:c>
      <x:c r="C368" s="76" t="str">
        <x:f>IFERROR(VLOOKUP(B368,EPP!$B$7:$D$64,2,FALSE),"")</x:f>
        <x:v>GUANTES DE NITRILO TL</x:v>
      </x:c>
      <x:c r="D368" s="76" t="str">
        <x:f>IFERROR(VLOOKUP(B368,EPP!$B$7:$D$64,3,FALSE),"")</x:f>
        <x:v>Par</x:v>
      </x:c>
      <x:c r="E368" s="76" t="s">
        <x:v>142</x:v>
      </x:c>
      <x:c r="F368" s="76">
        <x:v>1</x:v>
      </x:c>
      <x:c r="G368" s="71"/>
    </x:row>
    <x:row r="369">
      <x:c r="A369" s="74">
        <x:v>46124</x:v>
      </x:c>
      <x:c r="B369" s="76" t="s">
        <x:v>52</x:v>
      </x:c>
      <x:c r="C369" s="76" t="str">
        <x:f>IFERROR(VLOOKUP(B369,EPP!$B$7:$D$64,2,FALSE),"")</x:f>
        <x:v>GUANTES DE NITRILO TL</x:v>
      </x:c>
      <x:c r="D369" s="76" t="str">
        <x:f>IFERROR(VLOOKUP(B369,EPP!$B$7:$D$64,3,FALSE),"")</x:f>
        <x:v>Par</x:v>
      </x:c>
      <x:c r="E369" s="76" t="s">
        <x:v>161</x:v>
      </x:c>
      <x:c r="F369" s="76">
        <x:v>1</x:v>
      </x:c>
      <x:c r="G369" s="71"/>
    </x:row>
    <x:row r="370">
      <x:c r="A370" s="74">
        <x:v>46124</x:v>
      </x:c>
      <x:c r="B370" s="76" t="s">
        <x:v>52</x:v>
      </x:c>
      <x:c r="C370" s="76" t="str">
        <x:f>IFERROR(VLOOKUP(B370,EPP!$B$7:$D$64,2,FALSE),"")</x:f>
        <x:v>GUANTES DE NITRILO TL</x:v>
      </x:c>
      <x:c r="D370" s="76" t="str">
        <x:f>IFERROR(VLOOKUP(B370,EPP!$B$7:$D$64,3,FALSE),"")</x:f>
        <x:v>Par</x:v>
      </x:c>
      <x:c r="E370" s="76" t="s">
        <x:v>170</x:v>
      </x:c>
      <x:c r="F370" s="76">
        <x:v>1</x:v>
      </x:c>
      <x:c r="G370" s="71"/>
    </x:row>
    <x:row r="371">
      <x:c r="A371" s="74">
        <x:v>46124</x:v>
      </x:c>
      <x:c r="B371" s="76" t="s">
        <x:v>52</x:v>
      </x:c>
      <x:c r="C371" s="76" t="str">
        <x:f>IFERROR(VLOOKUP(B371,EPP!$B$7:$D$64,2,FALSE),"")</x:f>
        <x:v>GUANTES DE NITRILO TL</x:v>
      </x:c>
      <x:c r="D371" s="76" t="str">
        <x:f>IFERROR(VLOOKUP(B371,EPP!$B$7:$D$64,3,FALSE),"")</x:f>
        <x:v>Par</x:v>
      </x:c>
      <x:c r="E371" s="76" t="s">
        <x:v>169</x:v>
      </x:c>
      <x:c r="F371" s="76">
        <x:v>1</x:v>
      </x:c>
      <x:c r="G371" s="71"/>
    </x:row>
    <x:row r="372">
      <x:c r="A372" s="74">
        <x:v>46125</x:v>
      </x:c>
      <x:c r="B372" s="76" t="s">
        <x:v>78</x:v>
      </x:c>
      <x:c r="C372" s="76" t="str">
        <x:f>IFERROR(VLOOKUP(B372,EPP!$B$7:$D$64,2,FALSE),"")</x:f>
        <x:v>GUANTE KIM- NITRILO ARENADO T9</x:v>
      </x:c>
      <x:c r="D372" s="76" t="str">
        <x:f>IFERROR(VLOOKUP(B372,EPP!$B$7:$D$64,3,FALSE),"")</x:f>
        <x:v>Par</x:v>
      </x:c>
      <x:c r="E372" s="76" t="s">
        <x:v>148</x:v>
      </x:c>
      <x:c r="F372" s="76">
        <x:v>1</x:v>
      </x:c>
      <x:c r="G372" s="71"/>
    </x:row>
    <x:row r="373">
      <x:c r="A373" s="74">
        <x:v>46125</x:v>
      </x:c>
      <x:c r="B373" s="76" t="s">
        <x:v>29</x:v>
      </x:c>
      <x:c r="C373" s="76" t="str">
        <x:f>IFERROR(VLOOKUP(B373,EPP!$B$7:$D$64,2,FALSE),"")</x:f>
        <x:v>GAFAS LENTE CLARO</x:v>
      </x:c>
      <x:c r="D373" s="76" t="str">
        <x:f>IFERROR(VLOOKUP(B373,EPP!$B$7:$D$64,3,FALSE),"")</x:f>
        <x:v>Unidad </x:v>
      </x:c>
      <x:c r="E373" s="76" t="s">
        <x:v>157</x:v>
      </x:c>
      <x:c r="F373" s="76">
        <x:v>1</x:v>
      </x:c>
      <x:c r="G373" s="71"/>
    </x:row>
    <x:row r="374">
      <x:c r="A374" s="74">
        <x:v>46125</x:v>
      </x:c>
      <x:c r="B374" s="76" t="s">
        <x:v>52</x:v>
      </x:c>
      <x:c r="C374" s="76" t="str">
        <x:f>IFERROR(VLOOKUP(B374,EPP!$B$7:$D$64,2,FALSE),"")</x:f>
        <x:v>GUANTES DE NITRILO TL</x:v>
      </x:c>
      <x:c r="D374" s="76" t="str">
        <x:f>IFERROR(VLOOKUP(B374,EPP!$B$7:$D$64,3,FALSE),"")</x:f>
        <x:v>Par</x:v>
      </x:c>
      <x:c r="E374" s="76" t="s">
        <x:v>170</x:v>
      </x:c>
      <x:c r="F374" s="76">
        <x:v>1</x:v>
      </x:c>
      <x:c r="G374" s="71"/>
    </x:row>
    <x:row r="375">
      <x:c r="A375" s="74">
        <x:v>46125</x:v>
      </x:c>
      <x:c r="B375" s="76" t="s">
        <x:v>52</x:v>
      </x:c>
      <x:c r="C375" s="76" t="str">
        <x:f>IFERROR(VLOOKUP(B375,EPP!$B$7:$D$64,2,FALSE),"")</x:f>
        <x:v>GUANTES DE NITRILO TL</x:v>
      </x:c>
      <x:c r="D375" s="76" t="str">
        <x:f>IFERROR(VLOOKUP(B375,EPP!$B$7:$D$64,3,FALSE),"")</x:f>
        <x:v>Par</x:v>
      </x:c>
      <x:c r="E375" s="76" t="s">
        <x:v>169</x:v>
      </x:c>
      <x:c r="F375" s="76">
        <x:v>1</x:v>
      </x:c>
      <x:c r="G375" s="71"/>
    </x:row>
    <x:row r="376">
      <x:c r="A376" s="74">
        <x:v>46125</x:v>
      </x:c>
      <x:c r="B376" s="76" t="s">
        <x:v>88</x:v>
      </x:c>
      <x:c r="C376" s="76" t="str">
        <x:f>IFERROR(VLOOKUP(B376,EPP!$B$7:$D$64,2,FALSE),"")</x:f>
        <x:v>PROTECTOR AUDITIVO INSERCIÓN</x:v>
      </x:c>
      <x:c r="D376" s="76" t="str">
        <x:f>IFERROR(VLOOKUP(B376,EPP!$B$7:$D$64,3,FALSE),"")</x:f>
        <x:v>Unidad </x:v>
      </x:c>
      <x:c r="E376" s="76" t="s">
        <x:v>152</x:v>
      </x:c>
      <x:c r="F376" s="76">
        <x:v>1</x:v>
      </x:c>
      <x:c r="G376" s="71"/>
    </x:row>
    <x:row r="377">
      <x:c r="A377" s="74">
        <x:v>46126</x:v>
      </x:c>
      <x:c r="B377" s="76" t="s">
        <x:v>52</x:v>
      </x:c>
      <x:c r="C377" s="76" t="str">
        <x:f>IFERROR(VLOOKUP(B377,EPP!$B$7:$D$64,2,FALSE),"")</x:f>
        <x:v>GUANTES DE NITRILO TL</x:v>
      </x:c>
      <x:c r="D377" s="76" t="str">
        <x:f>IFERROR(VLOOKUP(B377,EPP!$B$7:$D$64,3,FALSE),"")</x:f>
        <x:v>Par</x:v>
      </x:c>
      <x:c r="E377" s="76" t="s">
        <x:v>170</x:v>
      </x:c>
      <x:c r="F377" s="76">
        <x:v>1</x:v>
      </x:c>
      <x:c r="G377" s="71"/>
    </x:row>
    <x:row r="378">
      <x:c r="A378" s="74">
        <x:v>46126</x:v>
      </x:c>
      <x:c r="B378" s="76" t="s">
        <x:v>52</x:v>
      </x:c>
      <x:c r="C378" s="76" t="str">
        <x:f>IFERROR(VLOOKUP(B378,EPP!$B$7:$D$64,2,FALSE),"")</x:f>
        <x:v>GUANTES DE NITRILO TL</x:v>
      </x:c>
      <x:c r="D378" s="76" t="str">
        <x:f>IFERROR(VLOOKUP(B378,EPP!$B$7:$D$64,3,FALSE),"")</x:f>
        <x:v>Par</x:v>
      </x:c>
      <x:c r="E378" s="76" t="s">
        <x:v>169</x:v>
      </x:c>
      <x:c r="F378" s="76">
        <x:v>1</x:v>
      </x:c>
      <x:c r="G378" s="71"/>
    </x:row>
    <x:row r="379">
      <x:c r="A379" s="74">
        <x:v>46127</x:v>
      </x:c>
      <x:c r="B379" s="76" t="s">
        <x:v>50</x:v>
      </x:c>
      <x:c r="C379" s="76" t="str">
        <x:f>IFERROR(VLOOKUP(B379,EPP!$B$7:$D$64,2,FALSE),"")</x:f>
        <x:v>TAPABOCAS INDUSTRIAL NEGRO</x:v>
      </x:c>
      <x:c r="D379" s="76" t="str">
        <x:f>IFERROR(VLOOKUP(B379,EPP!$B$7:$D$64,3,FALSE),"")</x:f>
        <x:v>Unidad </x:v>
      </x:c>
      <x:c r="E379" s="76" t="s">
        <x:v>186</x:v>
      </x:c>
      <x:c r="F379" s="76">
        <x:v>1</x:v>
      </x:c>
      <x:c r="G379" s="71"/>
    </x:row>
    <x:row r="380">
      <x:c r="A380" s="74">
        <x:v>46127</x:v>
      </x:c>
      <x:c r="B380" s="76" t="s">
        <x:v>52</x:v>
      </x:c>
      <x:c r="C380" s="76" t="str">
        <x:f>IFERROR(VLOOKUP(B380,EPP!$B$7:$D$64,2,FALSE),"")</x:f>
        <x:v>GUANTES DE NITRILO TL</x:v>
      </x:c>
      <x:c r="D380" s="76" t="str">
        <x:f>IFERROR(VLOOKUP(B380,EPP!$B$7:$D$64,3,FALSE),"")</x:f>
        <x:v>Par</x:v>
      </x:c>
      <x:c r="E380" s="76" t="s">
        <x:v>176</x:v>
      </x:c>
      <x:c r="F380" s="76">
        <x:v>1</x:v>
      </x:c>
      <x:c r="G380" s="71"/>
    </x:row>
    <x:row r="381">
      <x:c r="A381" s="74">
        <x:v>46127</x:v>
      </x:c>
      <x:c r="B381" s="76" t="s">
        <x:v>52</x:v>
      </x:c>
      <x:c r="C381" s="76" t="str">
        <x:f>IFERROR(VLOOKUP(B381,EPP!$B$7:$D$64,2,FALSE),"")</x:f>
        <x:v>GUANTES DE NITRILO TL</x:v>
      </x:c>
      <x:c r="D381" s="76" t="str">
        <x:f>IFERROR(VLOOKUP(B381,EPP!$B$7:$D$64,3,FALSE),"")</x:f>
        <x:v>Par</x:v>
      </x:c>
      <x:c r="E381" s="76" t="s">
        <x:v>169</x:v>
      </x:c>
      <x:c r="F381" s="76">
        <x:v>1</x:v>
      </x:c>
      <x:c r="G381" s="71"/>
    </x:row>
    <x:row r="382">
      <x:c r="A382" s="74">
        <x:v>46127</x:v>
      </x:c>
      <x:c r="B382" s="76" t="s">
        <x:v>52</x:v>
      </x:c>
      <x:c r="C382" s="76" t="str">
        <x:f>IFERROR(VLOOKUP(B382,EPP!$B$7:$D$64,2,FALSE),"")</x:f>
        <x:v>GUANTES DE NITRILO TL</x:v>
      </x:c>
      <x:c r="D382" s="76" t="str">
        <x:f>IFERROR(VLOOKUP(B382,EPP!$B$7:$D$64,3,FALSE),"")</x:f>
        <x:v>Par</x:v>
      </x:c>
      <x:c r="E382" s="76" t="s">
        <x:v>186</x:v>
      </x:c>
      <x:c r="F382" s="76">
        <x:v>1</x:v>
      </x:c>
      <x:c r="G382" s="71"/>
    </x:row>
    <x:row r="383">
      <x:c r="A383" s="74">
        <x:v>46127</x:v>
      </x:c>
      <x:c r="B383" s="76" t="s">
        <x:v>62</x:v>
      </x:c>
      <x:c r="C383" s="76" t="str">
        <x:f>IFERROR(VLOOKUP(B383,EPP!$B$7:$D$64,2,FALSE),"")</x:f>
        <x:v>GUANTE INDUSTRIAL NITRILO LARGO T8</x:v>
      </x:c>
      <x:c r="D383" s="76" t="str">
        <x:f>IFERROR(VLOOKUP(B383,EPP!$B$7:$D$64,3,FALSE),"")</x:f>
        <x:v>Par</x:v>
      </x:c>
      <x:c r="E383" s="76" t="s">
        <x:v>161</x:v>
      </x:c>
      <x:c r="F383" s="76">
        <x:v>1</x:v>
      </x:c>
      <x:c r="G383" s="71"/>
    </x:row>
    <x:row r="384">
      <x:c r="A384" s="74">
        <x:v>46127</x:v>
      </x:c>
      <x:c r="B384" s="76" t="s">
        <x:v>62</x:v>
      </x:c>
      <x:c r="C384" s="76" t="str">
        <x:f>IFERROR(VLOOKUP(B384,EPP!$B$7:$D$64,2,FALSE),"")</x:f>
        <x:v>GUANTE INDUSTRIAL NITRILO LARGO T8</x:v>
      </x:c>
      <x:c r="D384" s="76" t="str">
        <x:f>IFERROR(VLOOKUP(B384,EPP!$B$7:$D$64,3,FALSE),"")</x:f>
        <x:v>Par</x:v>
      </x:c>
      <x:c r="E384" s="76" t="s">
        <x:v>162</x:v>
      </x:c>
      <x:c r="F384" s="76">
        <x:v>1</x:v>
      </x:c>
      <x:c r="G384" s="71"/>
    </x:row>
    <x:row r="385">
      <x:c r="A385" s="74">
        <x:v>46127</x:v>
      </x:c>
      <x:c r="B385" s="76" t="s">
        <x:v>64</x:v>
      </x:c>
      <x:c r="C385" s="76" t="str">
        <x:f>IFERROR(VLOOKUP(B385,EPP!$B$7:$D$64,2,FALSE),"")</x:f>
        <x:v>GUANTE INDUSTRIAL NITRILO LARGO T9</x:v>
      </x:c>
      <x:c r="D385" s="76" t="str">
        <x:f>IFERROR(VLOOKUP(B385,EPP!$B$7:$D$64,3,FALSE),"")</x:f>
        <x:v>Par</x:v>
      </x:c>
      <x:c r="E385" s="76" t="s">
        <x:v>170</x:v>
      </x:c>
      <x:c r="F385" s="76">
        <x:v>1</x:v>
      </x:c>
      <x:c r="G385" s="71"/>
    </x:row>
    <x:row r="386">
      <x:c r="A386" s="74">
        <x:v>46127</x:v>
      </x:c>
      <x:c r="B386" s="76" t="s">
        <x:v>64</x:v>
      </x:c>
      <x:c r="C386" s="76" t="str">
        <x:f>IFERROR(VLOOKUP(B386,EPP!$B$7:$D$64,2,FALSE),"")</x:f>
        <x:v>GUANTE INDUSTRIAL NITRILO LARGO T9</x:v>
      </x:c>
      <x:c r="D386" s="76" t="str">
        <x:f>IFERROR(VLOOKUP(B386,EPP!$B$7:$D$64,3,FALSE),"")</x:f>
        <x:v>Par</x:v>
      </x:c>
      <x:c r="E386" s="76" t="s">
        <x:v>160</x:v>
      </x:c>
      <x:c r="F386" s="76">
        <x:v>1</x:v>
      </x:c>
      <x:c r="G386" s="71"/>
    </x:row>
    <x:row r="387">
      <x:c r="A387" s="74">
        <x:v>46128</x:v>
      </x:c>
      <x:c r="B387" s="76" t="s">
        <x:v>80</x:v>
      </x:c>
      <x:c r="C387" s="76" t="str">
        <x:f>IFERROR(VLOOKUP(B387,EPP!$B$7:$D$64,2,FALSE),"")</x:f>
        <x:v>GUANTE PARA SOLDAR T10</x:v>
      </x:c>
      <x:c r="D387" s="76" t="str">
        <x:f>IFERROR(VLOOKUP(B387,EPP!$B$7:$D$64,3,FALSE),"")</x:f>
        <x:v>Unidad </x:v>
      </x:c>
      <x:c r="E387" s="76" t="s">
        <x:v>163</x:v>
      </x:c>
      <x:c r="F387" s="76">
        <x:v>1</x:v>
      </x:c>
      <x:c r="G387" s="71"/>
    </x:row>
    <x:row r="388">
      <x:c r="A388" s="74">
        <x:v>46128</x:v>
      </x:c>
      <x:c r="B388" s="76" t="s">
        <x:v>52</x:v>
      </x:c>
      <x:c r="C388" s="76" t="str">
        <x:f>IFERROR(VLOOKUP(B388,EPP!$B$7:$D$64,2,FALSE),"")</x:f>
        <x:v>GUANTES DE NITRILO TL</x:v>
      </x:c>
      <x:c r="D388" s="76" t="str">
        <x:f>IFERROR(VLOOKUP(B388,EPP!$B$7:$D$64,3,FALSE),"")</x:f>
        <x:v>Par</x:v>
      </x:c>
      <x:c r="E388" s="76" t="s">
        <x:v>176</x:v>
      </x:c>
      <x:c r="F388" s="76">
        <x:v>1</x:v>
      </x:c>
      <x:c r="G388" s="71"/>
    </x:row>
    <x:row r="389">
      <x:c r="A389" s="74">
        <x:v>46128</x:v>
      </x:c>
      <x:c r="B389" s="76" t="s">
        <x:v>52</x:v>
      </x:c>
      <x:c r="C389" s="76" t="str">
        <x:f>IFERROR(VLOOKUP(B389,EPP!$B$7:$D$64,2,FALSE),"")</x:f>
        <x:v>GUANTES DE NITRILO TL</x:v>
      </x:c>
      <x:c r="D389" s="76" t="str">
        <x:f>IFERROR(VLOOKUP(B389,EPP!$B$7:$D$64,3,FALSE),"")</x:f>
        <x:v>Par</x:v>
      </x:c>
      <x:c r="E389" s="76" t="s">
        <x:v>169</x:v>
      </x:c>
      <x:c r="F389" s="76">
        <x:v>1</x:v>
      </x:c>
      <x:c r="G389" s="71"/>
    </x:row>
    <x:row r="390">
      <x:c r="A390" s="74">
        <x:v>46128</x:v>
      </x:c>
      <x:c r="B390" s="76" t="s">
        <x:v>76</x:v>
      </x:c>
      <x:c r="C390" s="76" t="str">
        <x:f>IFERROR(VLOOKUP(B390,EPP!$B$7:$D$64,2,FALSE),"")</x:f>
        <x:v>GUANTE KIM- NITRILO ARENADO T8</x:v>
      </x:c>
      <x:c r="D390" s="76" t="str">
        <x:f>IFERROR(VLOOKUP(B390,EPP!$B$7:$D$64,3,FALSE),"")</x:f>
        <x:v>Par</x:v>
      </x:c>
      <x:c r="E390" s="76" t="s">
        <x:v>166</x:v>
      </x:c>
      <x:c r="F390" s="76">
        <x:v>1</x:v>
      </x:c>
      <x:c r="G390" s="71"/>
    </x:row>
    <x:row r="391">
      <x:c r="A391" s="74">
        <x:v>46128</x:v>
      </x:c>
      <x:c r="B391" s="76" t="s">
        <x:v>76</x:v>
      </x:c>
      <x:c r="C391" s="76" t="str">
        <x:f>IFERROR(VLOOKUP(B391,EPP!$B$7:$D$64,2,FALSE),"")</x:f>
        <x:v>GUANTE KIM- NITRILO ARENADO T8</x:v>
      </x:c>
      <x:c r="D391" s="76" t="str">
        <x:f>IFERROR(VLOOKUP(B391,EPP!$B$7:$D$64,3,FALSE),"")</x:f>
        <x:v>Par</x:v>
      </x:c>
      <x:c r="E391" s="76" t="s">
        <x:v>175</x:v>
      </x:c>
      <x:c r="F391" s="76">
        <x:v>1</x:v>
      </x:c>
      <x:c r="G391" s="71"/>
    </x:row>
    <x:row r="392">
      <x:c r="A392" s="74">
        <x:v>46128</x:v>
      </x:c>
      <x:c r="B392" s="76" t="s">
        <x:v>76</x:v>
      </x:c>
      <x:c r="C392" s="76" t="str">
        <x:f>IFERROR(VLOOKUP(B392,EPP!$B$7:$D$64,2,FALSE),"")</x:f>
        <x:v>GUANTE KIM- NITRILO ARENADO T8</x:v>
      </x:c>
      <x:c r="D392" s="76" t="str">
        <x:f>IFERROR(VLOOKUP(B392,EPP!$B$7:$D$64,3,FALSE),"")</x:f>
        <x:v>Par</x:v>
      </x:c>
      <x:c r="E392" s="76" t="s">
        <x:v>171</x:v>
      </x:c>
      <x:c r="F392" s="76">
        <x:v>1</x:v>
      </x:c>
      <x:c r="G392" s="71"/>
    </x:row>
    <x:row r="393">
      <x:c r="A393" s="74">
        <x:v>46128</x:v>
      </x:c>
      <x:c r="B393" s="76" t="s">
        <x:v>76</x:v>
      </x:c>
      <x:c r="C393" s="76" t="str">
        <x:f>IFERROR(VLOOKUP(B393,EPP!$B$7:$D$64,2,FALSE),"")</x:f>
        <x:v>GUANTE KIM- NITRILO ARENADO T8</x:v>
      </x:c>
      <x:c r="D393" s="76" t="str">
        <x:f>IFERROR(VLOOKUP(B393,EPP!$B$7:$D$64,3,FALSE),"")</x:f>
        <x:v>Par</x:v>
      </x:c>
      <x:c r="E393" s="76" t="s">
        <x:v>176</x:v>
      </x:c>
      <x:c r="F393" s="76">
        <x:v>1</x:v>
      </x:c>
      <x:c r="G393" s="71"/>
    </x:row>
    <x:row r="394">
      <x:c r="A394" s="74">
        <x:v>46128</x:v>
      </x:c>
      <x:c r="B394" s="76" t="s">
        <x:v>76</x:v>
      </x:c>
      <x:c r="C394" s="76" t="str">
        <x:f>IFERROR(VLOOKUP(B394,EPP!$B$7:$D$64,2,FALSE),"")</x:f>
        <x:v>GUANTE KIM- NITRILO ARENADO T8</x:v>
      </x:c>
      <x:c r="D394" s="76" t="str">
        <x:f>IFERROR(VLOOKUP(B394,EPP!$B$7:$D$64,3,FALSE),"")</x:f>
        <x:v>Par</x:v>
      </x:c>
      <x:c r="E394" s="76" t="s">
        <x:v>154</x:v>
      </x:c>
      <x:c r="F394" s="76">
        <x:v>1</x:v>
      </x:c>
      <x:c r="G394" s="71"/>
    </x:row>
    <x:row r="395">
      <x:c r="A395" s="74">
        <x:v>46129</x:v>
      </x:c>
      <x:c r="B395" s="76" t="s">
        <x:v>31</x:v>
      </x:c>
      <x:c r="C395" s="76" t="str">
        <x:f>IFERROR(VLOOKUP(B395,EPP!$B$7:$D$64,2,FALSE),"")</x:f>
        <x:v>MONOGAFAS</x:v>
      </x:c>
      <x:c r="D395" s="76" t="str">
        <x:f>IFERROR(VLOOKUP(B395,EPP!$B$7:$D$64,3,FALSE),"")</x:f>
        <x:v>Unidad </x:v>
      </x:c>
      <x:c r="E395" s="76" t="s">
        <x:v>186</x:v>
      </x:c>
      <x:c r="F395" s="76">
        <x:v>1</x:v>
      </x:c>
      <x:c r="G395" s="71"/>
    </x:row>
    <x:row r="396">
      <x:c r="A396" s="74">
        <x:v>46129</x:v>
      </x:c>
      <x:c r="B396" s="76" t="s">
        <x:v>52</x:v>
      </x:c>
      <x:c r="C396" s="76" t="str">
        <x:f>IFERROR(VLOOKUP(B396,EPP!$B$7:$D$64,2,FALSE),"")</x:f>
        <x:v>GUANTES DE NITRILO TL</x:v>
      </x:c>
      <x:c r="D396" s="76" t="str">
        <x:f>IFERROR(VLOOKUP(B396,EPP!$B$7:$D$64,3,FALSE),"")</x:f>
        <x:v>Par</x:v>
      </x:c>
      <x:c r="E396" s="76" t="s">
        <x:v>176</x:v>
      </x:c>
      <x:c r="F396" s="76">
        <x:v>1</x:v>
      </x:c>
      <x:c r="G396" s="71"/>
    </x:row>
    <x:row r="397">
      <x:c r="A397" s="74">
        <x:v>46129</x:v>
      </x:c>
      <x:c r="B397" s="76" t="s">
        <x:v>52</x:v>
      </x:c>
      <x:c r="C397" s="76" t="str">
        <x:f>IFERROR(VLOOKUP(B397,EPP!$B$7:$D$64,2,FALSE),"")</x:f>
        <x:v>GUANTES DE NITRILO TL</x:v>
      </x:c>
      <x:c r="D397" s="76" t="str">
        <x:f>IFERROR(VLOOKUP(B397,EPP!$B$7:$D$64,3,FALSE),"")</x:f>
        <x:v>Par</x:v>
      </x:c>
      <x:c r="E397" s="76" t="s">
        <x:v>169</x:v>
      </x:c>
      <x:c r="F397" s="76">
        <x:v>1</x:v>
      </x:c>
      <x:c r="G397" s="71"/>
    </x:row>
    <x:row r="398">
      <x:c r="A398" s="74">
        <x:v>46129</x:v>
      </x:c>
      <x:c r="B398" s="76" t="s">
        <x:v>88</x:v>
      </x:c>
      <x:c r="C398" s="76" t="str">
        <x:f>IFERROR(VLOOKUP(B398,EPP!$B$7:$D$64,2,FALSE),"")</x:f>
        <x:v>PROTECTOR AUDITIVO INSERCIÓN</x:v>
      </x:c>
      <x:c r="D398" s="76" t="str">
        <x:f>IFERROR(VLOOKUP(B398,EPP!$B$7:$D$64,3,FALSE),"")</x:f>
        <x:v>Unidad </x:v>
      </x:c>
      <x:c r="E398" s="76" t="s">
        <x:v>152</x:v>
      </x:c>
      <x:c r="F398" s="76">
        <x:v>1</x:v>
      </x:c>
      <x:c r="G398" s="71"/>
    </x:row>
    <x:row r="399">
      <x:c r="A399" s="74">
        <x:v>46130</x:v>
      </x:c>
      <x:c r="B399" s="76" t="s">
        <x:v>29</x:v>
      </x:c>
      <x:c r="C399" s="76" t="str">
        <x:f>IFERROR(VLOOKUP(B399,EPP!$B$7:$D$64,2,FALSE),"")</x:f>
        <x:v>GAFAS LENTE CLARO</x:v>
      </x:c>
      <x:c r="D399" s="76" t="str">
        <x:f>IFERROR(VLOOKUP(B399,EPP!$B$7:$D$64,3,FALSE),"")</x:f>
        <x:v>Unidad </x:v>
      </x:c>
      <x:c r="E399" s="76" t="s">
        <x:v>143</x:v>
      </x:c>
      <x:c r="F399" s="76">
        <x:v>1</x:v>
      </x:c>
      <x:c r="G399" s="71"/>
    </x:row>
    <x:row r="400">
      <x:c r="A400" s="74">
        <x:v>46130</x:v>
      </x:c>
      <x:c r="B400" s="76" t="s">
        <x:v>29</x:v>
      </x:c>
      <x:c r="C400" s="76" t="str">
        <x:f>IFERROR(VLOOKUP(B400,EPP!$B$7:$D$64,2,FALSE),"")</x:f>
        <x:v>GAFAS LENTE CLARO</x:v>
      </x:c>
      <x:c r="D400" s="76" t="str">
        <x:f>IFERROR(VLOOKUP(B400,EPP!$B$7:$D$64,3,FALSE),"")</x:f>
        <x:v>Unidad </x:v>
      </x:c>
      <x:c r="E400" s="76" t="s">
        <x:v>162</x:v>
      </x:c>
      <x:c r="F400" s="76">
        <x:v>1</x:v>
      </x:c>
      <x:c r="G400" s="71"/>
    </x:row>
    <x:row r="401">
      <x:c r="A401" s="74">
        <x:v>46130</x:v>
      </x:c>
      <x:c r="B401" s="76" t="s">
        <x:v>52</x:v>
      </x:c>
      <x:c r="C401" s="76" t="str">
        <x:f>IFERROR(VLOOKUP(B401,EPP!$B$7:$D$64,2,FALSE),"")</x:f>
        <x:v>GUANTES DE NITRILO TL</x:v>
      </x:c>
      <x:c r="D401" s="76" t="str">
        <x:f>IFERROR(VLOOKUP(B401,EPP!$B$7:$D$64,3,FALSE),"")</x:f>
        <x:v>Par</x:v>
      </x:c>
      <x:c r="E401" s="76" t="s">
        <x:v>176</x:v>
      </x:c>
      <x:c r="F401" s="76">
        <x:v>1</x:v>
      </x:c>
      <x:c r="G401" s="71"/>
    </x:row>
    <x:row r="402">
      <x:c r="A402" s="74">
        <x:v>46130</x:v>
      </x:c>
      <x:c r="B402" s="76" t="s">
        <x:v>52</x:v>
      </x:c>
      <x:c r="C402" s="76" t="str">
        <x:f>IFERROR(VLOOKUP(B402,EPP!$B$7:$D$64,2,FALSE),"")</x:f>
        <x:v>GUANTES DE NITRILO TL</x:v>
      </x:c>
      <x:c r="D402" s="76" t="str">
        <x:f>IFERROR(VLOOKUP(B402,EPP!$B$7:$D$64,3,FALSE),"")</x:f>
        <x:v>Par</x:v>
      </x:c>
      <x:c r="E402" s="76" t="s">
        <x:v>169</x:v>
      </x:c>
      <x:c r="F402" s="76">
        <x:v>1</x:v>
      </x:c>
      <x:c r="G402" s="71"/>
    </x:row>
    <x:row r="403">
      <x:c r="A403" s="74">
        <x:v>46131</x:v>
      </x:c>
      <x:c r="B403" s="76" t="s">
        <x:v>52</x:v>
      </x:c>
      <x:c r="C403" s="76" t="str">
        <x:f>IFERROR(VLOOKUP(B403,EPP!$B$7:$D$64,2,FALSE),"")</x:f>
        <x:v>GUANTES DE NITRILO TL</x:v>
      </x:c>
      <x:c r="D403" s="76" t="str">
        <x:f>IFERROR(VLOOKUP(B403,EPP!$B$7:$D$64,3,FALSE),"")</x:f>
        <x:v>Par</x:v>
      </x:c>
      <x:c r="E403" s="76" t="s">
        <x:v>176</x:v>
      </x:c>
      <x:c r="F403" s="76">
        <x:v>1</x:v>
      </x:c>
      <x:c r="G403" s="71"/>
    </x:row>
    <x:row r="404">
      <x:c r="A404" s="74">
        <x:v>46131</x:v>
      </x:c>
      <x:c r="B404" s="76" t="s">
        <x:v>52</x:v>
      </x:c>
      <x:c r="C404" s="76" t="str">
        <x:f>IFERROR(VLOOKUP(B404,EPP!$B$7:$D$64,2,FALSE),"")</x:f>
        <x:v>GUANTES DE NITRILO TL</x:v>
      </x:c>
      <x:c r="D404" s="76" t="str">
        <x:f>IFERROR(VLOOKUP(B404,EPP!$B$7:$D$64,3,FALSE),"")</x:f>
        <x:v>Par</x:v>
      </x:c>
      <x:c r="E404" s="76" t="s">
        <x:v>169</x:v>
      </x:c>
      <x:c r="F404" s="76">
        <x:v>1</x:v>
      </x:c>
      <x:c r="G404" s="71"/>
    </x:row>
    <x:row r="405">
      <x:c r="A405" s="74">
        <x:v>46131</x:v>
      </x:c>
      <x:c r="B405" s="76" t="s">
        <x:v>78</x:v>
      </x:c>
      <x:c r="C405" s="76" t="str">
        <x:f>IFERROR(VLOOKUP(B405,EPP!$B$7:$D$64,2,FALSE),"")</x:f>
        <x:v>GUANTE KIM- NITRILO ARENADO T9</x:v>
      </x:c>
      <x:c r="D405" s="76" t="str">
        <x:f>IFERROR(VLOOKUP(B405,EPP!$B$7:$D$64,3,FALSE),"")</x:f>
        <x:v>Par</x:v>
      </x:c>
      <x:c r="E405" s="76" t="s">
        <x:v>143</x:v>
      </x:c>
      <x:c r="F405" s="76">
        <x:v>1</x:v>
      </x:c>
      <x:c r="G405" s="71"/>
    </x:row>
    <x:row r="406">
      <x:c r="A406" s="74">
        <x:v>46131</x:v>
      </x:c>
      <x:c r="B406" s="76" t="s">
        <x:v>78</x:v>
      </x:c>
      <x:c r="C406" s="76" t="str">
        <x:f>IFERROR(VLOOKUP(B406,EPP!$B$7:$D$64,2,FALSE),"")</x:f>
        <x:v>GUANTE KIM- NITRILO ARENADO T9</x:v>
      </x:c>
      <x:c r="D406" s="76" t="str">
        <x:f>IFERROR(VLOOKUP(B406,EPP!$B$7:$D$64,3,FALSE),"")</x:f>
        <x:v>Par</x:v>
      </x:c>
      <x:c r="E406" s="76" t="s">
        <x:v>157</x:v>
      </x:c>
      <x:c r="F406" s="76">
        <x:v>1</x:v>
      </x:c>
      <x:c r="G406" s="71"/>
    </x:row>
    <x:row r="407">
      <x:c r="A407" s="74">
        <x:v>46131</x:v>
      </x:c>
      <x:c r="B407" s="76" t="s">
        <x:v>78</x:v>
      </x:c>
      <x:c r="C407" s="76" t="str">
        <x:f>IFERROR(VLOOKUP(B407,EPP!$B$7:$D$64,2,FALSE),"")</x:f>
        <x:v>GUANTE KIM- NITRILO ARENADO T9</x:v>
      </x:c>
      <x:c r="D407" s="76" t="str">
        <x:f>IFERROR(VLOOKUP(B407,EPP!$B$7:$D$64,3,FALSE),"")</x:f>
        <x:v>Par</x:v>
      </x:c>
      <x:c r="E407" s="76" t="s">
        <x:v>145</x:v>
      </x:c>
      <x:c r="F407" s="76">
        <x:v>1</x:v>
      </x:c>
      <x:c r="G407" s="71"/>
    </x:row>
    <x:row r="408">
      <x:c r="A408" s="74">
        <x:v>46132</x:v>
      </x:c>
      <x:c r="B408" s="76" t="s">
        <x:v>27</x:v>
      </x:c>
      <x:c r="C408" s="76" t="str">
        <x:f>IFERROR(VLOOKUP(B408,EPP!$B$7:$D$64,2,FALSE),"")</x:f>
        <x:v>GAFAS LENTE OSCURO</x:v>
      </x:c>
      <x:c r="D408" s="76" t="str">
        <x:f>IFERROR(VLOOKUP(B408,EPP!$B$7:$D$64,3,FALSE),"")</x:f>
        <x:v>Unidad </x:v>
      </x:c>
      <x:c r="E408" s="76" t="s">
        <x:v>149</x:v>
      </x:c>
      <x:c r="F408" s="76">
        <x:v>1</x:v>
      </x:c>
      <x:c r="G408" s="71"/>
    </x:row>
    <x:row r="409">
      <x:c r="A409" s="74">
        <x:v>46132</x:v>
      </x:c>
      <x:c r="B409" s="76" t="s">
        <x:v>27</x:v>
      </x:c>
      <x:c r="C409" s="76" t="str">
        <x:f>IFERROR(VLOOKUP(B409,EPP!$B$7:$D$64,2,FALSE),"")</x:f>
        <x:v>GAFAS LENTE OSCURO</x:v>
      </x:c>
      <x:c r="D409" s="76" t="str">
        <x:f>IFERROR(VLOOKUP(B409,EPP!$B$7:$D$64,3,FALSE),"")</x:f>
        <x:v>Unidad </x:v>
      </x:c>
      <x:c r="E409" s="76" t="s">
        <x:v>158</x:v>
      </x:c>
      <x:c r="F409" s="76">
        <x:v>1</x:v>
      </x:c>
      <x:c r="G409" s="71"/>
    </x:row>
    <x:row r="410">
      <x:c r="A410" s="74">
        <x:v>46132</x:v>
      </x:c>
      <x:c r="B410" s="76" t="s">
        <x:v>29</x:v>
      </x:c>
      <x:c r="C410" s="76" t="str">
        <x:f>IFERROR(VLOOKUP(B410,EPP!$B$7:$D$64,2,FALSE),"")</x:f>
        <x:v>GAFAS LENTE CLARO</x:v>
      </x:c>
      <x:c r="D410" s="76" t="str">
        <x:f>IFERROR(VLOOKUP(B410,EPP!$B$7:$D$64,3,FALSE),"")</x:f>
        <x:v>Unidad </x:v>
      </x:c>
      <x:c r="E410" s="76" t="s">
        <x:v>166</x:v>
      </x:c>
      <x:c r="F410" s="76">
        <x:v>1</x:v>
      </x:c>
      <x:c r="G410" s="71"/>
    </x:row>
    <x:row r="411">
      <x:c r="A411" s="74">
        <x:v>46132</x:v>
      </x:c>
      <x:c r="B411" s="76" t="s">
        <x:v>29</x:v>
      </x:c>
      <x:c r="C411" s="76" t="str">
        <x:f>IFERROR(VLOOKUP(B411,EPP!$B$7:$D$64,2,FALSE),"")</x:f>
        <x:v>GAFAS LENTE CLARO</x:v>
      </x:c>
      <x:c r="D411" s="76" t="str">
        <x:f>IFERROR(VLOOKUP(B411,EPP!$B$7:$D$64,3,FALSE),"")</x:f>
        <x:v>Unidad </x:v>
      </x:c>
      <x:c r="E411" s="76" t="s">
        <x:v>169</x:v>
      </x:c>
      <x:c r="F411" s="76">
        <x:v>1</x:v>
      </x:c>
      <x:c r="G411" s="71"/>
    </x:row>
    <x:row r="412">
      <x:c r="A412" s="74">
        <x:v>46132</x:v>
      </x:c>
      <x:c r="B412" s="76" t="s">
        <x:v>31</x:v>
      </x:c>
      <x:c r="C412" s="76" t="str">
        <x:f>IFERROR(VLOOKUP(B412,EPP!$B$7:$D$64,2,FALSE),"")</x:f>
        <x:v>MONOGAFAS</x:v>
      </x:c>
      <x:c r="D412" s="76" t="str">
        <x:f>IFERROR(VLOOKUP(B412,EPP!$B$7:$D$64,3,FALSE),"")</x:f>
        <x:v>Unidad </x:v>
      </x:c>
      <x:c r="E412" s="76" t="s">
        <x:v>166</x:v>
      </x:c>
      <x:c r="F412" s="76">
        <x:v>1</x:v>
      </x:c>
      <x:c r="G412" s="71"/>
    </x:row>
    <x:row r="413">
      <x:c r="A413" s="74">
        <x:v>46132</x:v>
      </x:c>
      <x:c r="B413" s="76" t="s">
        <x:v>31</x:v>
      </x:c>
      <x:c r="C413" s="76" t="str">
        <x:f>IFERROR(VLOOKUP(B413,EPP!$B$7:$D$64,2,FALSE),"")</x:f>
        <x:v>MONOGAFAS</x:v>
      </x:c>
      <x:c r="D413" s="76" t="str">
        <x:f>IFERROR(VLOOKUP(B413,EPP!$B$7:$D$64,3,FALSE),"")</x:f>
        <x:v>Unidad </x:v>
      </x:c>
      <x:c r="E413" s="76" t="s">
        <x:v>145</x:v>
      </x:c>
      <x:c r="F413" s="76">
        <x:v>1</x:v>
      </x:c>
      <x:c r="G413" s="71"/>
    </x:row>
    <x:row r="414">
      <x:c r="A414" s="74">
        <x:v>46132</x:v>
      </x:c>
      <x:c r="B414" s="76" t="s">
        <x:v>39</x:v>
      </x:c>
      <x:c r="C414" s="76" t="str">
        <x:f>IFERROR(VLOOKUP(B414,EPP!$B$7:$D$64,2,FALSE),"")</x:f>
        <x:v>MASCARA RESPIRADOR MEDIA CARA 3M 6200 TM </x:v>
      </x:c>
      <x:c r="D414" s="76" t="str">
        <x:f>IFERROR(VLOOKUP(B414,EPP!$B$7:$D$64,3,FALSE),"")</x:f>
        <x:v>Par</x:v>
      </x:c>
      <x:c r="E414" s="76" t="s">
        <x:v>166</x:v>
      </x:c>
      <x:c r="F414" s="76">
        <x:v>1</x:v>
      </x:c>
      <x:c r="G414" s="71"/>
    </x:row>
    <x:row r="415">
      <x:c r="A415" s="74">
        <x:v>46132</x:v>
      </x:c>
      <x:c r="B415" s="76" t="s">
        <x:v>42</x:v>
      </x:c>
      <x:c r="C415" s="76" t="str">
        <x:f>IFERROR(VLOOKUP(B415,EPP!$B$7:$D$64,2,FALSE),"")</x:f>
        <x:v>FILTROS PARA MASCARA 6003</x:v>
      </x:c>
      <x:c r="D415" s="76" t="str">
        <x:f>IFERROR(VLOOKUP(B415,EPP!$B$7:$D$64,3,FALSE),"")</x:f>
        <x:v>Par</x:v>
      </x:c>
      <x:c r="E415" s="76" t="s">
        <x:v>166</x:v>
      </x:c>
      <x:c r="F415" s="76">
        <x:v>1</x:v>
      </x:c>
      <x:c r="G415" s="71"/>
    </x:row>
    <x:row r="416">
      <x:c r="A416" s="74">
        <x:v>46132</x:v>
      </x:c>
      <x:c r="B416" s="76" t="s">
        <x:v>50</x:v>
      </x:c>
      <x:c r="C416" s="76" t="str">
        <x:f>IFERROR(VLOOKUP(B416,EPP!$B$7:$D$64,2,FALSE),"")</x:f>
        <x:v>TAPABOCAS INDUSTRIAL NEGRO</x:v>
      </x:c>
      <x:c r="D416" s="76" t="str">
        <x:f>IFERROR(VLOOKUP(B416,EPP!$B$7:$D$64,3,FALSE),"")</x:f>
        <x:v>Unidad </x:v>
      </x:c>
      <x:c r="E416" s="76" t="s">
        <x:v>158</x:v>
      </x:c>
      <x:c r="F416" s="76">
        <x:v>1</x:v>
      </x:c>
      <x:c r="G416" s="71"/>
    </x:row>
    <x:row r="417">
      <x:c r="A417" s="74">
        <x:v>46132</x:v>
      </x:c>
      <x:c r="B417" s="76" t="s">
        <x:v>50</x:v>
      </x:c>
      <x:c r="C417" s="76" t="str">
        <x:f>IFERROR(VLOOKUP(B417,EPP!$B$7:$D$64,2,FALSE),"")</x:f>
        <x:v>TAPABOCAS INDUSTRIAL NEGRO</x:v>
      </x:c>
      <x:c r="D417" s="76" t="str">
        <x:f>IFERROR(VLOOKUP(B417,EPP!$B$7:$D$64,3,FALSE),"")</x:f>
        <x:v>Unidad </x:v>
      </x:c>
      <x:c r="E417" s="76" t="s">
        <x:v>147</x:v>
      </x:c>
      <x:c r="F417" s="76">
        <x:v>1</x:v>
      </x:c>
      <x:c r="G417" s="71"/>
    </x:row>
    <x:row r="418">
      <x:c r="A418" s="74">
        <x:v>46132</x:v>
      </x:c>
      <x:c r="B418" s="76" t="s">
        <x:v>50</x:v>
      </x:c>
      <x:c r="C418" s="76" t="str">
        <x:f>IFERROR(VLOOKUP(B418,EPP!$B$7:$D$64,2,FALSE),"")</x:f>
        <x:v>TAPABOCAS INDUSTRIAL NEGRO</x:v>
      </x:c>
      <x:c r="D418" s="76" t="str">
        <x:f>IFERROR(VLOOKUP(B418,EPP!$B$7:$D$64,3,FALSE),"")</x:f>
        <x:v>Unidad </x:v>
      </x:c>
      <x:c r="E418" s="76" t="s">
        <x:v>149</x:v>
      </x:c>
      <x:c r="F418" s="76">
        <x:v>1</x:v>
      </x:c>
      <x:c r="G418" s="71"/>
    </x:row>
    <x:row r="419">
      <x:c r="A419" s="74">
        <x:v>46132</x:v>
      </x:c>
      <x:c r="B419" s="76" t="s">
        <x:v>52</x:v>
      </x:c>
      <x:c r="C419" s="76" t="str">
        <x:f>IFERROR(VLOOKUP(B419,EPP!$B$7:$D$64,2,FALSE),"")</x:f>
        <x:v>GUANTES DE NITRILO TL</x:v>
      </x:c>
      <x:c r="D419" s="76" t="str">
        <x:f>IFERROR(VLOOKUP(B419,EPP!$B$7:$D$64,3,FALSE),"")</x:f>
        <x:v>Par</x:v>
      </x:c>
      <x:c r="E419" s="76" t="s">
        <x:v>176</x:v>
      </x:c>
      <x:c r="F419" s="76">
        <x:v>1</x:v>
      </x:c>
      <x:c r="G419" s="71"/>
    </x:row>
    <x:row r="420">
      <x:c r="A420" s="74">
        <x:v>46132</x:v>
      </x:c>
      <x:c r="B420" s="76" t="s">
        <x:v>52</x:v>
      </x:c>
      <x:c r="C420" s="76" t="str">
        <x:f>IFERROR(VLOOKUP(B420,EPP!$B$7:$D$64,2,FALSE),"")</x:f>
        <x:v>GUANTES DE NITRILO TL</x:v>
      </x:c>
      <x:c r="D420" s="76" t="str">
        <x:f>IFERROR(VLOOKUP(B420,EPP!$B$7:$D$64,3,FALSE),"")</x:f>
        <x:v>Par</x:v>
      </x:c>
      <x:c r="E420" s="76" t="s">
        <x:v>169</x:v>
      </x:c>
      <x:c r="F420" s="76">
        <x:v>1</x:v>
      </x:c>
      <x:c r="G420" s="71"/>
    </x:row>
    <x:row r="421">
      <x:c r="A421" s="74">
        <x:v>46132</x:v>
      </x:c>
      <x:c r="B421" s="76" t="s">
        <x:v>78</x:v>
      </x:c>
      <x:c r="C421" s="76" t="str">
        <x:f>IFERROR(VLOOKUP(B421,EPP!$B$7:$D$64,2,FALSE),"")</x:f>
        <x:v>GUANTE KIM- NITRILO ARENADO T9</x:v>
      </x:c>
      <x:c r="D421" s="76" t="str">
        <x:f>IFERROR(VLOOKUP(B421,EPP!$B$7:$D$64,3,FALSE),"")</x:f>
        <x:v>Par</x:v>
      </x:c>
      <x:c r="E421" s="76" t="s">
        <x:v>146</x:v>
      </x:c>
      <x:c r="F421" s="76">
        <x:v>1</x:v>
      </x:c>
      <x:c r="G421" s="71"/>
    </x:row>
    <x:row r="422">
      <x:c r="A422" s="74">
        <x:v>46132</x:v>
      </x:c>
      <x:c r="B422" s="76" t="s">
        <x:v>78</x:v>
      </x:c>
      <x:c r="C422" s="76" t="str">
        <x:f>IFERROR(VLOOKUP(B422,EPP!$B$7:$D$64,2,FALSE),"")</x:f>
        <x:v>GUANTE KIM- NITRILO ARENADO T9</x:v>
      </x:c>
      <x:c r="D422" s="76" t="str">
        <x:f>IFERROR(VLOOKUP(B422,EPP!$B$7:$D$64,3,FALSE),"")</x:f>
        <x:v>Par</x:v>
      </x:c>
      <x:c r="E422" s="76" t="s">
        <x:v>158</x:v>
      </x:c>
      <x:c r="F422" s="76">
        <x:v>1</x:v>
      </x:c>
      <x:c r="G422" s="71"/>
    </x:row>
    <x:row r="423">
      <x:c r="A423" s="74">
        <x:v>46132</x:v>
      </x:c>
      <x:c r="B423" s="76" t="s">
        <x:v>78</x:v>
      </x:c>
      <x:c r="C423" s="76" t="str">
        <x:f>IFERROR(VLOOKUP(B423,EPP!$B$7:$D$64,2,FALSE),"")</x:f>
        <x:v>GUANTE KIM- NITRILO ARENADO T9</x:v>
      </x:c>
      <x:c r="D423" s="76" t="str">
        <x:f>IFERROR(VLOOKUP(B423,EPP!$B$7:$D$64,3,FALSE),"")</x:f>
        <x:v>Par</x:v>
      </x:c>
      <x:c r="E423" s="76" t="s">
        <x:v>142</x:v>
      </x:c>
      <x:c r="F423" s="76">
        <x:v>1</x:v>
      </x:c>
      <x:c r="G423" s="71"/>
    </x:row>
    <x:row r="424">
      <x:c r="A424" s="74">
        <x:v>46132</x:v>
      </x:c>
      <x:c r="B424" s="76" t="s">
        <x:v>78</x:v>
      </x:c>
      <x:c r="C424" s="76" t="str">
        <x:f>IFERROR(VLOOKUP(B424,EPP!$B$7:$D$64,2,FALSE),"")</x:f>
        <x:v>GUANTE KIM- NITRILO ARENADO T9</x:v>
      </x:c>
      <x:c r="D424" s="76" t="str">
        <x:f>IFERROR(VLOOKUP(B424,EPP!$B$7:$D$64,3,FALSE),"")</x:f>
        <x:v>Par</x:v>
      </x:c>
      <x:c r="E424" s="76" t="s">
        <x:v>169</x:v>
      </x:c>
      <x:c r="F424" s="76">
        <x:v>1</x:v>
      </x:c>
      <x:c r="G424" s="71"/>
    </x:row>
    <x:row r="425">
      <x:c r="A425" s="74">
        <x:v>46132</x:v>
      </x:c>
      <x:c r="B425" s="76" t="s">
        <x:v>50</x:v>
      </x:c>
      <x:c r="C425" s="76" t="str">
        <x:f>IFERROR(VLOOKUP(B425,EPP!$B$7:$D$64,2,FALSE),"")</x:f>
        <x:v>TAPABOCAS INDUSTRIAL NEGRO</x:v>
      </x:c>
      <x:c r="D425" s="76" t="str">
        <x:f>IFERROR(VLOOKUP(B425,EPP!$B$7:$D$64,3,FALSE),"")</x:f>
        <x:v>Unidad </x:v>
      </x:c>
      <x:c r="E425" s="76" t="s">
        <x:v>153</x:v>
      </x:c>
      <x:c r="F425" s="76">
        <x:v>1</x:v>
      </x:c>
      <x:c r="G425" s="71"/>
    </x:row>
    <x:row r="426">
      <x:c r="A426" s="74">
        <x:v>46132</x:v>
      </x:c>
      <x:c r="B426" s="76" t="s">
        <x:v>50</x:v>
      </x:c>
      <x:c r="C426" s="76" t="str">
        <x:f>IFERROR(VLOOKUP(B426,EPP!$B$7:$D$64,2,FALSE),"")</x:f>
        <x:v>TAPABOCAS INDUSTRIAL NEGRO</x:v>
      </x:c>
      <x:c r="D426" s="76" t="str">
        <x:f>IFERROR(VLOOKUP(B426,EPP!$B$7:$D$64,3,FALSE),"")</x:f>
        <x:v>Unidad </x:v>
      </x:c>
      <x:c r="E426" s="76" t="s">
        <x:v>145</x:v>
      </x:c>
      <x:c r="F426" s="76">
        <x:v>1</x:v>
      </x:c>
      <x:c r="G426" s="71"/>
    </x:row>
    <x:row r="427">
      <x:c r="A427" s="74">
        <x:v>46132</x:v>
      </x:c>
      <x:c r="B427" s="76" t="s">
        <x:v>50</x:v>
      </x:c>
      <x:c r="C427" s="76" t="str">
        <x:f>IFERROR(VLOOKUP(B427,EPP!$B$7:$D$64,2,FALSE),"")</x:f>
        <x:v>TAPABOCAS INDUSTRIAL NEGRO</x:v>
      </x:c>
      <x:c r="D427" s="76" t="str">
        <x:f>IFERROR(VLOOKUP(B427,EPP!$B$7:$D$64,3,FALSE),"")</x:f>
        <x:v>Unidad </x:v>
      </x:c>
      <x:c r="E427" s="76" t="s">
        <x:v>148</x:v>
      </x:c>
      <x:c r="F427" s="76">
        <x:v>1</x:v>
      </x:c>
      <x:c r="G427" s="71"/>
    </x:row>
    <x:row r="428">
      <x:c r="A428" s="74">
        <x:v>46132</x:v>
      </x:c>
      <x:c r="B428" s="76" t="s">
        <x:v>64</x:v>
      </x:c>
      <x:c r="C428" s="76" t="str">
        <x:f>IFERROR(VLOOKUP(B428,EPP!$B$7:$D$64,2,FALSE),"")</x:f>
        <x:v>GUANTE INDUSTRIAL NITRILO LARGO T9</x:v>
      </x:c>
      <x:c r="D428" s="76" t="str">
        <x:f>IFERROR(VLOOKUP(B428,EPP!$B$7:$D$64,3,FALSE),"")</x:f>
        <x:v>Par</x:v>
      </x:c>
      <x:c r="E428" s="76" t="s">
        <x:v>145</x:v>
      </x:c>
      <x:c r="F428" s="76">
        <x:v>1</x:v>
      </x:c>
      <x:c r="G428" s="71"/>
    </x:row>
    <x:row r="429">
      <x:c r="A429" s="74">
        <x:v>46132</x:v>
      </x:c>
      <x:c r="B429" s="76" t="s">
        <x:v>64</x:v>
      </x:c>
      <x:c r="C429" s="76" t="str">
        <x:f>IFERROR(VLOOKUP(B429,EPP!$B$7:$D$64,2,FALSE),"")</x:f>
        <x:v>GUANTE INDUSTRIAL NITRILO LARGO T9</x:v>
      </x:c>
      <x:c r="D429" s="76" t="str">
        <x:f>IFERROR(VLOOKUP(B429,EPP!$B$7:$D$64,3,FALSE),"")</x:f>
        <x:v>Par</x:v>
      </x:c>
      <x:c r="E429" s="76" t="s">
        <x:v>153</x:v>
      </x:c>
      <x:c r="F429" s="76">
        <x:v>1</x:v>
      </x:c>
      <x:c r="G429" s="71"/>
    </x:row>
    <x:row r="430">
      <x:c r="A430" s="74">
        <x:v>46132</x:v>
      </x:c>
      <x:c r="B430" s="76" t="s">
        <x:v>25</x:v>
      </x:c>
      <x:c r="C430" s="76" t="str">
        <x:f>IFERROR(VLOOKUP(B430,EPP!$B$7:$D$64,2,FALSE),"")</x:f>
        <x:v>CASCO BLANCO (ALTURAS)</x:v>
      </x:c>
      <x:c r="D430" s="76" t="str">
        <x:f>IFERROR(VLOOKUP(B430,EPP!$B$7:$D$64,3,FALSE),"")</x:f>
        <x:v>Unidad </x:v>
      </x:c>
      <x:c r="E430" s="76" t="s">
        <x:v>163</x:v>
      </x:c>
      <x:c r="F430" s="76">
        <x:v>2</x:v>
      </x:c>
      <x:c r="G430" s="71"/>
    </x:row>
    <x:row r="431">
      <x:c r="A431" s="74">
        <x:v>46133</x:v>
      </x:c>
      <x:c r="B431" s="76" t="s">
        <x:v>29</x:v>
      </x:c>
      <x:c r="C431" s="76" t="str">
        <x:f>IFERROR(VLOOKUP(B431,EPP!$B$7:$D$64,2,FALSE),"")</x:f>
        <x:v>GAFAS LENTE CLARO</x:v>
      </x:c>
      <x:c r="D431" s="76" t="str">
        <x:f>IFERROR(VLOOKUP(B431,EPP!$B$7:$D$64,3,FALSE),"")</x:f>
        <x:v>Unidad </x:v>
      </x:c>
      <x:c r="E431" s="76" t="s">
        <x:v>186</x:v>
      </x:c>
      <x:c r="F431" s="76">
        <x:v>1</x:v>
      </x:c>
      <x:c r="G431" s="71"/>
    </x:row>
    <x:row r="432">
      <x:c r="A432" s="74">
        <x:v>46133</x:v>
      </x:c>
      <x:c r="B432" s="76" t="s">
        <x:v>29</x:v>
      </x:c>
      <x:c r="C432" s="76" t="str">
        <x:f>IFERROR(VLOOKUP(B432,EPP!$B$7:$D$64,2,FALSE),"")</x:f>
        <x:v>GAFAS LENTE CLARO</x:v>
      </x:c>
      <x:c r="D432" s="76" t="str">
        <x:f>IFERROR(VLOOKUP(B432,EPP!$B$7:$D$64,3,FALSE),"")</x:f>
        <x:v>Unidad </x:v>
      </x:c>
      <x:c r="E432" s="76" t="s">
        <x:v>170</x:v>
      </x:c>
      <x:c r="F432" s="76">
        <x:v>1</x:v>
      </x:c>
      <x:c r="G432" s="71"/>
    </x:row>
    <x:row r="433">
      <x:c r="A433" s="74">
        <x:v>46133</x:v>
      </x:c>
      <x:c r="B433" s="76" t="s">
        <x:v>52</x:v>
      </x:c>
      <x:c r="C433" s="76" t="str">
        <x:f>IFERROR(VLOOKUP(B433,EPP!$B$7:$D$64,2,FALSE),"")</x:f>
        <x:v>GUANTES DE NITRILO TL</x:v>
      </x:c>
      <x:c r="D433" s="76" t="str">
        <x:f>IFERROR(VLOOKUP(B433,EPP!$B$7:$D$64,3,FALSE),"")</x:f>
        <x:v>Par</x:v>
      </x:c>
      <x:c r="E433" s="76" t="s">
        <x:v>176</x:v>
      </x:c>
      <x:c r="F433" s="76">
        <x:v>1</x:v>
      </x:c>
      <x:c r="G433" s="71"/>
    </x:row>
    <x:row r="434">
      <x:c r="A434" s="74">
        <x:v>46133</x:v>
      </x:c>
      <x:c r="B434" s="76" t="s">
        <x:v>52</x:v>
      </x:c>
      <x:c r="C434" s="76" t="str">
        <x:f>IFERROR(VLOOKUP(B434,EPP!$B$7:$D$64,2,FALSE),"")</x:f>
        <x:v>GUANTES DE NITRILO TL</x:v>
      </x:c>
      <x:c r="D434" s="76" t="str">
        <x:f>IFERROR(VLOOKUP(B434,EPP!$B$7:$D$64,3,FALSE),"")</x:f>
        <x:v>Par</x:v>
      </x:c>
      <x:c r="E434" s="76" t="s">
        <x:v>169</x:v>
      </x:c>
      <x:c r="F434" s="76">
        <x:v>1</x:v>
      </x:c>
      <x:c r="G434" s="71"/>
    </x:row>
    <x:row r="435">
      <x:c r="A435" s="74">
        <x:v>46133</x:v>
      </x:c>
      <x:c r="B435" s="76" t="s">
        <x:v>88</x:v>
      </x:c>
      <x:c r="C435" s="76" t="str">
        <x:f>IFERROR(VLOOKUP(B435,EPP!$B$7:$D$64,2,FALSE),"")</x:f>
        <x:v>PROTECTOR AUDITIVO INSERCIÓN</x:v>
      </x:c>
      <x:c r="D435" s="76" t="str">
        <x:f>IFERROR(VLOOKUP(B435,EPP!$B$7:$D$64,3,FALSE),"")</x:f>
        <x:v>Unidad </x:v>
      </x:c>
      <x:c r="E435" s="76" t="s">
        <x:v>152</x:v>
      </x:c>
      <x:c r="F435" s="76">
        <x:v>1</x:v>
      </x:c>
      <x:c r="G435" s="71"/>
    </x:row>
    <x:row r="436">
      <x:c r="A436" s="74">
        <x:v>46134</x:v>
      </x:c>
      <x:c r="B436" s="76" t="s">
        <x:v>29</x:v>
      </x:c>
      <x:c r="C436" s="76" t="str">
        <x:f>IFERROR(VLOOKUP(B436,EPP!$B$7:$D$64,2,FALSE),"")</x:f>
        <x:v>GAFAS LENTE CLARO</x:v>
      </x:c>
      <x:c r="D436" s="76" t="str">
        <x:f>IFERROR(VLOOKUP(B436,EPP!$B$7:$D$64,3,FALSE),"")</x:f>
        <x:v>Unidad </x:v>
      </x:c>
      <x:c r="E436" s="76" t="s">
        <x:v>171</x:v>
      </x:c>
      <x:c r="F436" s="76">
        <x:v>1</x:v>
      </x:c>
      <x:c r="G436" s="71"/>
    </x:row>
    <x:row r="437">
      <x:c r="A437" s="74">
        <x:v>46134</x:v>
      </x:c>
      <x:c r="B437" s="76" t="s">
        <x:v>52</x:v>
      </x:c>
      <x:c r="C437" s="76" t="str">
        <x:f>IFERROR(VLOOKUP(B437,EPP!$B$7:$D$64,2,FALSE),"")</x:f>
        <x:v>GUANTES DE NITRILO TL</x:v>
      </x:c>
      <x:c r="D437" s="76" t="str">
        <x:f>IFERROR(VLOOKUP(B437,EPP!$B$7:$D$64,3,FALSE),"")</x:f>
        <x:v>Par</x:v>
      </x:c>
      <x:c r="E437" s="76" t="s">
        <x:v>176</x:v>
      </x:c>
      <x:c r="F437" s="76">
        <x:v>1</x:v>
      </x:c>
      <x:c r="G437" s="71"/>
    </x:row>
    <x:row r="438">
      <x:c r="A438" s="74">
        <x:v>46134</x:v>
      </x:c>
      <x:c r="B438" s="76" t="s">
        <x:v>52</x:v>
      </x:c>
      <x:c r="C438" s="76" t="str">
        <x:f>IFERROR(VLOOKUP(B438,EPP!$B$7:$D$64,2,FALSE),"")</x:f>
        <x:v>GUANTES DE NITRILO TL</x:v>
      </x:c>
      <x:c r="D438" s="76" t="str">
        <x:f>IFERROR(VLOOKUP(B438,EPP!$B$7:$D$64,3,FALSE),"")</x:f>
        <x:v>Par</x:v>
      </x:c>
      <x:c r="E438" s="76" t="s">
        <x:v>169</x:v>
      </x:c>
      <x:c r="F438" s="76">
        <x:v>1</x:v>
      </x:c>
      <x:c r="G438" s="71"/>
    </x:row>
    <x:row r="439">
      <x:c r="A439" s="74">
        <x:v>46134</x:v>
      </x:c>
      <x:c r="B439" s="76" t="s">
        <x:v>74</x:v>
      </x:c>
      <x:c r="C439" s="76" t="str">
        <x:f>IFERROR(VLOOKUP(B439,EPP!$B$7:$D$64,2,FALSE),"")</x:f>
        <x:v>GUANTE ANTICORTE T9</x:v>
      </x:c>
      <x:c r="D439" s="76" t="str">
        <x:f>IFERROR(VLOOKUP(B439,EPP!$B$7:$D$64,3,FALSE),"")</x:f>
        <x:v>Par</x:v>
      </x:c>
      <x:c r="E439" s="76" t="s">
        <x:v>162</x:v>
      </x:c>
      <x:c r="F439" s="76">
        <x:v>1</x:v>
      </x:c>
      <x:c r="G439" s="71"/>
    </x:row>
    <x:row r="440">
      <x:c r="A440" s="74">
        <x:v>46135</x:v>
      </x:c>
      <x:c r="B440" s="76" t="s">
        <x:v>46</x:v>
      </x:c>
      <x:c r="C440" s="76" t="str">
        <x:f>IFERROR(VLOOKUP(B440,EPP!$B$7:$D$64,2,FALSE),"")</x:f>
        <x:v>RESPIRADOR KN95</x:v>
      </x:c>
      <x:c r="D440" s="76" t="str">
        <x:f>IFERROR(VLOOKUP(B440,EPP!$B$7:$D$64,3,FALSE),"")</x:f>
        <x:v>Unidad </x:v>
      </x:c>
      <x:c r="E440" s="76" t="s">
        <x:v>153</x:v>
      </x:c>
      <x:c r="F440" s="76">
        <x:v>1</x:v>
      </x:c>
      <x:c r="G440" s="71"/>
    </x:row>
    <x:row r="441">
      <x:c r="A441" s="74">
        <x:v>46135</x:v>
      </x:c>
      <x:c r="B441" s="76" t="s">
        <x:v>48</x:v>
      </x:c>
      <x:c r="C441" s="76" t="str">
        <x:f>IFERROR(VLOOKUP(B441,EPP!$B$7:$D$64,2,FALSE),"")</x:f>
        <x:v>TAPABOCAS DESECHABLE</x:v>
      </x:c>
      <x:c r="D441" s="76" t="str">
        <x:f>IFERROR(VLOOKUP(B441,EPP!$B$7:$D$64,3,FALSE),"")</x:f>
        <x:v>Unidad </x:v>
      </x:c>
      <x:c r="E441" s="76" t="s">
        <x:v>142</x:v>
      </x:c>
      <x:c r="F441" s="76">
        <x:v>1</x:v>
      </x:c>
      <x:c r="G441" s="71"/>
    </x:row>
    <x:row r="442">
      <x:c r="A442" s="74">
        <x:v>46135</x:v>
      </x:c>
      <x:c r="B442" s="76" t="s">
        <x:v>48</x:v>
      </x:c>
      <x:c r="C442" s="76" t="str">
        <x:f>IFERROR(VLOOKUP(B442,EPP!$B$7:$D$64,2,FALSE),"")</x:f>
        <x:v>TAPABOCAS DESECHABLE</x:v>
      </x:c>
      <x:c r="D442" s="76" t="str">
        <x:f>IFERROR(VLOOKUP(B442,EPP!$B$7:$D$64,3,FALSE),"")</x:f>
        <x:v>Unidad </x:v>
      </x:c>
      <x:c r="E442" s="76" t="s">
        <x:v>149</x:v>
      </x:c>
      <x:c r="F442" s="76">
        <x:v>1</x:v>
      </x:c>
      <x:c r="G442" s="71"/>
    </x:row>
    <x:row r="443">
      <x:c r="A443" s="74">
        <x:v>46135</x:v>
      </x:c>
      <x:c r="B443" s="76" t="s">
        <x:v>48</x:v>
      </x:c>
      <x:c r="C443" s="76" t="str">
        <x:f>IFERROR(VLOOKUP(B443,EPP!$B$7:$D$64,2,FALSE),"")</x:f>
        <x:v>TAPABOCAS DESECHABLE</x:v>
      </x:c>
      <x:c r="D443" s="76" t="str">
        <x:f>IFERROR(VLOOKUP(B443,EPP!$B$7:$D$64,3,FALSE),"")</x:f>
        <x:v>Unidad </x:v>
      </x:c>
      <x:c r="E443" s="76" t="s">
        <x:v>147</x:v>
      </x:c>
      <x:c r="F443" s="76">
        <x:v>1</x:v>
      </x:c>
      <x:c r="G443" s="71"/>
    </x:row>
    <x:row r="444">
      <x:c r="A444" s="74">
        <x:v>46135</x:v>
      </x:c>
      <x:c r="B444" s="76" t="s">
        <x:v>52</x:v>
      </x:c>
      <x:c r="C444" s="76" t="str">
        <x:f>IFERROR(VLOOKUP(B444,EPP!$B$7:$D$64,2,FALSE),"")</x:f>
        <x:v>GUANTES DE NITRILO TL</x:v>
      </x:c>
      <x:c r="D444" s="76" t="str">
        <x:f>IFERROR(VLOOKUP(B444,EPP!$B$7:$D$64,3,FALSE),"")</x:f>
        <x:v>Par</x:v>
      </x:c>
      <x:c r="E444" s="76" t="s">
        <x:v>176</x:v>
      </x:c>
      <x:c r="F444" s="76">
        <x:v>1</x:v>
      </x:c>
      <x:c r="G444" s="71"/>
    </x:row>
    <x:row r="445">
      <x:c r="A445" s="74">
        <x:v>46135</x:v>
      </x:c>
      <x:c r="B445" s="76" t="s">
        <x:v>52</x:v>
      </x:c>
      <x:c r="C445" s="76" t="str">
        <x:f>IFERROR(VLOOKUP(B445,EPP!$B$7:$D$64,2,FALSE),"")</x:f>
        <x:v>GUANTES DE NITRILO TL</x:v>
      </x:c>
      <x:c r="D445" s="76" t="str">
        <x:f>IFERROR(VLOOKUP(B445,EPP!$B$7:$D$64,3,FALSE),"")</x:f>
        <x:v>Par</x:v>
      </x:c>
      <x:c r="E445" s="76" t="s">
        <x:v>169</x:v>
      </x:c>
      <x:c r="F445" s="76">
        <x:v>1</x:v>
      </x:c>
      <x:c r="G445" s="71"/>
    </x:row>
    <x:row r="446">
      <x:c r="A446" s="74">
        <x:v>46135</x:v>
      </x:c>
      <x:c r="B446" s="76" t="s">
        <x:v>78</x:v>
      </x:c>
      <x:c r="C446" s="76" t="str">
        <x:f>IFERROR(VLOOKUP(B446,EPP!$B$7:$D$64,2,FALSE),"")</x:f>
        <x:v>GUANTE KIM- NITRILO ARENADO T9</x:v>
      </x:c>
      <x:c r="D446" s="76" t="str">
        <x:f>IFERROR(VLOOKUP(B446,EPP!$B$7:$D$64,3,FALSE),"")</x:f>
        <x:v>Par</x:v>
      </x:c>
      <x:c r="E446" s="76" t="s">
        <x:v>147</x:v>
      </x:c>
      <x:c r="F446" s="76">
        <x:v>1</x:v>
      </x:c>
      <x:c r="G446" s="71"/>
    </x:row>
    <x:row r="447">
      <x:c r="A447" s="74">
        <x:v>46135</x:v>
      </x:c>
      <x:c r="B447" s="76" t="s">
        <x:v>78</x:v>
      </x:c>
      <x:c r="C447" s="76" t="str">
        <x:f>IFERROR(VLOOKUP(B447,EPP!$B$7:$D$64,2,FALSE),"")</x:f>
        <x:v>GUANTE KIM- NITRILO ARENADO T9</x:v>
      </x:c>
      <x:c r="D447" s="76" t="str">
        <x:f>IFERROR(VLOOKUP(B447,EPP!$B$7:$D$64,3,FALSE),"")</x:f>
        <x:v>Par</x:v>
      </x:c>
      <x:c r="E447" s="76" t="s">
        <x:v>149</x:v>
      </x:c>
      <x:c r="F447" s="76">
        <x:v>1</x:v>
      </x:c>
      <x:c r="G447" s="71"/>
    </x:row>
    <x:row r="448">
      <x:c r="A448" s="74">
        <x:v>46135</x:v>
      </x:c>
      <x:c r="B448" s="76" t="s">
        <x:v>82</x:v>
      </x:c>
      <x:c r="C448" s="76" t="str">
        <x:f>IFERROR(VLOOKUP(B448,EPP!$B$7:$D$64,2,FALSE),"")</x:f>
        <x:v>GUANTE ANTIIMPACTO LINK XL</x:v>
      </x:c>
      <x:c r="D448" s="76" t="str">
        <x:f>IFERROR(VLOOKUP(B448,EPP!$B$7:$D$64,3,FALSE),"")</x:f>
        <x:v>Par</x:v>
      </x:c>
      <x:c r="E448" s="76" t="s">
        <x:v>170</x:v>
      </x:c>
      <x:c r="F448" s="76">
        <x:v>1</x:v>
      </x:c>
      <x:c r="G448" s="71"/>
    </x:row>
    <x:row r="449">
      <x:c r="A449" s="74">
        <x:v>46135</x:v>
      </x:c>
      <x:c r="B449" s="76" t="s">
        <x:v>88</x:v>
      </x:c>
      <x:c r="C449" s="76" t="str">
        <x:f>IFERROR(VLOOKUP(B449,EPP!$B$7:$D$64,2,FALSE),"")</x:f>
        <x:v>PROTECTOR AUDITIVO INSERCIÓN</x:v>
      </x:c>
      <x:c r="D449" s="76" t="str">
        <x:f>IFERROR(VLOOKUP(B449,EPP!$B$7:$D$64,3,FALSE),"")</x:f>
        <x:v>Unidad </x:v>
      </x:c>
      <x:c r="E449" s="76" t="s">
        <x:v>149</x:v>
      </x:c>
      <x:c r="F449" s="76">
        <x:v>1</x:v>
      </x:c>
      <x:c r="G449" s="71"/>
    </x:row>
    <x:row r="450">
      <x:c r="A450" s="74">
        <x:v>46135</x:v>
      </x:c>
      <x:c r="B450" s="76" t="s">
        <x:v>88</x:v>
      </x:c>
      <x:c r="C450" s="76" t="str">
        <x:f>IFERROR(VLOOKUP(B450,EPP!$B$7:$D$64,2,FALSE),"")</x:f>
        <x:v>PROTECTOR AUDITIVO INSERCIÓN</x:v>
      </x:c>
      <x:c r="D450" s="76" t="str">
        <x:f>IFERROR(VLOOKUP(B450,EPP!$B$7:$D$64,3,FALSE),"")</x:f>
        <x:v>Unidad </x:v>
      </x:c>
      <x:c r="E450" s="76" t="s">
        <x:v>152</x:v>
      </x:c>
      <x:c r="F450" s="76">
        <x:v>1</x:v>
      </x:c>
      <x:c r="G450" s="71"/>
    </x:row>
    <x:row r="451">
      <x:c r="A451" s="74">
        <x:v>46136</x:v>
      </x:c>
      <x:c r="B451" s="76" t="s">
        <x:v>31</x:v>
      </x:c>
      <x:c r="C451" s="76" t="str">
        <x:f>IFERROR(VLOOKUP(B451,EPP!$B$7:$D$64,2,FALSE),"")</x:f>
        <x:v>MONOGAFAS</x:v>
      </x:c>
      <x:c r="D451" s="76" t="str">
        <x:f>IFERROR(VLOOKUP(B451,EPP!$B$7:$D$64,3,FALSE),"")</x:f>
        <x:v>Unidad </x:v>
      </x:c>
      <x:c r="E451" s="76" t="s">
        <x:v>180</x:v>
      </x:c>
      <x:c r="F451" s="76">
        <x:v>1</x:v>
      </x:c>
      <x:c r="G451" s="71"/>
    </x:row>
    <x:row r="452">
      <x:c r="A452" s="74">
        <x:v>46136</x:v>
      </x:c>
      <x:c r="B452" s="76" t="s">
        <x:v>52</x:v>
      </x:c>
      <x:c r="C452" s="76" t="str">
        <x:f>IFERROR(VLOOKUP(B452,EPP!$B$7:$D$64,2,FALSE),"")</x:f>
        <x:v>GUANTES DE NITRILO TL</x:v>
      </x:c>
      <x:c r="D452" s="76" t="str">
        <x:f>IFERROR(VLOOKUP(B452,EPP!$B$7:$D$64,3,FALSE),"")</x:f>
        <x:v>Par</x:v>
      </x:c>
      <x:c r="E452" s="76" t="s">
        <x:v>176</x:v>
      </x:c>
      <x:c r="F452" s="76">
        <x:v>1</x:v>
      </x:c>
      <x:c r="G452" s="71"/>
    </x:row>
    <x:row r="453">
      <x:c r="A453" s="74">
        <x:v>46136</x:v>
      </x:c>
      <x:c r="B453" s="76" t="s">
        <x:v>52</x:v>
      </x:c>
      <x:c r="C453" s="76" t="str">
        <x:f>IFERROR(VLOOKUP(B453,EPP!$B$7:$D$64,2,FALSE),"")</x:f>
        <x:v>GUANTES DE NITRILO TL</x:v>
      </x:c>
      <x:c r="D453" s="76" t="str">
        <x:f>IFERROR(VLOOKUP(B453,EPP!$B$7:$D$64,3,FALSE),"")</x:f>
        <x:v>Par</x:v>
      </x:c>
      <x:c r="E453" s="76" t="s">
        <x:v>169</x:v>
      </x:c>
      <x:c r="F453" s="76">
        <x:v>1</x:v>
      </x:c>
      <x:c r="G453" s="71"/>
    </x:row>
    <x:row r="454">
      <x:c r="A454" s="74">
        <x:v>46137</x:v>
      </x:c>
      <x:c r="B454" s="76" t="s">
        <x:v>52</x:v>
      </x:c>
      <x:c r="C454" s="76" t="str">
        <x:f>IFERROR(VLOOKUP(B454,EPP!$B$7:$D$64,2,FALSE),"")</x:f>
        <x:v>GUANTES DE NITRILO TL</x:v>
      </x:c>
      <x:c r="D454" s="76" t="str">
        <x:f>IFERROR(VLOOKUP(B454,EPP!$B$7:$D$64,3,FALSE),"")</x:f>
        <x:v>Par</x:v>
      </x:c>
      <x:c r="E454" s="76" t="s">
        <x:v>176</x:v>
      </x:c>
      <x:c r="F454" s="76">
        <x:v>1</x:v>
      </x:c>
      <x:c r="G454" s="71"/>
    </x:row>
    <x:row r="455">
      <x:c r="A455" s="74">
        <x:v>46137</x:v>
      </x:c>
      <x:c r="B455" s="76" t="s">
        <x:v>52</x:v>
      </x:c>
      <x:c r="C455" s="76" t="str">
        <x:f>IFERROR(VLOOKUP(B455,EPP!$B$7:$D$64,2,FALSE),"")</x:f>
        <x:v>GUANTES DE NITRILO TL</x:v>
      </x:c>
      <x:c r="D455" s="76" t="str">
        <x:f>IFERROR(VLOOKUP(B455,EPP!$B$7:$D$64,3,FALSE),"")</x:f>
        <x:v>Par</x:v>
      </x:c>
      <x:c r="E455" s="76" t="s">
        <x:v>185</x:v>
      </x:c>
      <x:c r="F455" s="76">
        <x:v>1</x:v>
      </x:c>
      <x:c r="G455" s="71"/>
    </x:row>
    <x:row r="456">
      <x:c r="A456" s="74">
        <x:v>46140</x:v>
      </x:c>
      <x:c r="B456" s="76" t="s">
        <x:v>76</x:v>
      </x:c>
      <x:c r="C456" s="76" t="str">
        <x:f>IFERROR(VLOOKUP(B456,EPP!$B$7:$D$64,2,FALSE),"")</x:f>
        <x:v>GUANTE KIM- NITRILO ARENADO T8</x:v>
      </x:c>
      <x:c r="D456" s="76" t="str">
        <x:f>IFERROR(VLOOKUP(B456,EPP!$B$7:$D$64,3,FALSE),"")</x:f>
        <x:v>Par</x:v>
      </x:c>
      <x:c r="E456" s="76" t="s">
        <x:v>143</x:v>
      </x:c>
      <x:c r="F456" s="76">
        <x:v>1</x:v>
      </x:c>
      <x:c r="G456" s="71"/>
    </x:row>
    <x:row r="457">
      <x:c r="A457" s="74">
        <x:v>46141</x:v>
      </x:c>
      <x:c r="B457" s="76" t="s">
        <x:v>48</x:v>
      </x:c>
      <x:c r="C457" s="76" t="str">
        <x:f>IFERROR(VLOOKUP(B457,EPP!$B$7:$D$64,2,FALSE),"")</x:f>
        <x:v>TAPABOCAS DESECHABLE</x:v>
      </x:c>
      <x:c r="D457" s="76" t="str">
        <x:f>IFERROR(VLOOKUP(B457,EPP!$B$7:$D$64,3,FALSE),"")</x:f>
        <x:v>Unidad </x:v>
      </x:c>
      <x:c r="E457" s="76" t="s">
        <x:v>145</x:v>
      </x:c>
      <x:c r="F457" s="76">
        <x:v>1</x:v>
      </x:c>
      <x:c r="G457" s="71"/>
    </x:row>
    <x:row r="458">
      <x:c r="A458" s="74">
        <x:v>46141</x:v>
      </x:c>
      <x:c r="B458" s="76" t="s">
        <x:v>48</x:v>
      </x:c>
      <x:c r="C458" s="76" t="str">
        <x:f>IFERROR(VLOOKUP(B458,EPP!$B$7:$D$64,2,FALSE),"")</x:f>
        <x:v>TAPABOCAS DESECHABLE</x:v>
      </x:c>
      <x:c r="D458" s="76" t="str">
        <x:f>IFERROR(VLOOKUP(B458,EPP!$B$7:$D$64,3,FALSE),"")</x:f>
        <x:v>Unidad </x:v>
      </x:c>
      <x:c r="E458" s="76" t="s">
        <x:v>187</x:v>
      </x:c>
      <x:c r="F458" s="76">
        <x:v>50</x:v>
      </x:c>
      <x:c r="G458" s="71"/>
    </x:row>
    <x:row r="459">
      <x:c r="A459" s="74">
        <x:v>46144</x:v>
      </x:c>
      <x:c r="B459" s="76" t="s">
        <x:v>50</x:v>
      </x:c>
      <x:c r="C459" s="76" t="str">
        <x:f>IFERROR(VLOOKUP(B459,EPP!$B$7:$D$64,2,FALSE),"")</x:f>
        <x:v>TAPABOCAS INDUSTRIAL NEGRO</x:v>
      </x:c>
      <x:c r="D459" s="76" t="str">
        <x:f>IFERROR(VLOOKUP(B459,EPP!$B$7:$D$64,3,FALSE),"")</x:f>
        <x:v>Unidad </x:v>
      </x:c>
      <x:c r="E459" s="76" t="s">
        <x:v>160</x:v>
      </x:c>
      <x:c r="F459" s="76">
        <x:v>1</x:v>
      </x:c>
      <x:c r="G459" s="71"/>
    </x:row>
    <x:row r="460">
      <x:c r="A460" s="74">
        <x:v>46144</x:v>
      </x:c>
      <x:c r="B460" s="76" t="s">
        <x:v>76</x:v>
      </x:c>
      <x:c r="C460" s="76" t="str">
        <x:f>IFERROR(VLOOKUP(B460,EPP!$B$7:$D$64,2,FALSE),"")</x:f>
        <x:v>GUANTE KIM- NITRILO ARENADO T8</x:v>
      </x:c>
      <x:c r="D460" s="76" t="str">
        <x:f>IFERROR(VLOOKUP(B460,EPP!$B$7:$D$64,3,FALSE),"")</x:f>
        <x:v>Par</x:v>
      </x:c>
      <x:c r="E460" s="76" t="s">
        <x:v>162</x:v>
      </x:c>
      <x:c r="F460" s="76">
        <x:v>1</x:v>
      </x:c>
      <x:c r="G460" s="71"/>
    </x:row>
    <x:row r="461">
      <x:c r="A461" s="74">
        <x:v>46144</x:v>
      </x:c>
      <x:c r="B461" s="76" t="s">
        <x:v>48</x:v>
      </x:c>
      <x:c r="C461" s="76" t="str">
        <x:f>IFERROR(VLOOKUP(B461,EPP!$B$7:$D$64,2,FALSE),"")</x:f>
        <x:v>TAPABOCAS DESECHABLE</x:v>
      </x:c>
      <x:c r="D461" s="76" t="str">
        <x:f>IFERROR(VLOOKUP(B461,EPP!$B$7:$D$64,3,FALSE),"")</x:f>
        <x:v>Unidad </x:v>
      </x:c>
      <x:c r="E461" s="76" t="s">
        <x:v>145</x:v>
      </x:c>
      <x:c r="F461" s="76">
        <x:v>1</x:v>
      </x:c>
      <x:c r="G461" s="71"/>
    </x:row>
    <x:row r="462">
      <x:c r="A462" s="74">
        <x:v>46144</x:v>
      </x:c>
      <x:c r="B462" s="76" t="s">
        <x:v>48</x:v>
      </x:c>
      <x:c r="C462" s="76" t="str">
        <x:f>IFERROR(VLOOKUP(B462,EPP!$B$7:$D$64,2,FALSE),"")</x:f>
        <x:v>TAPABOCAS DESECHABLE</x:v>
      </x:c>
      <x:c r="D462" s="76" t="str">
        <x:f>IFERROR(VLOOKUP(B462,EPP!$B$7:$D$64,3,FALSE),"")</x:f>
        <x:v>Unidad </x:v>
      </x:c>
      <x:c r="E462" s="76" t="s">
        <x:v>153</x:v>
      </x:c>
      <x:c r="F462" s="76">
        <x:v>1</x:v>
      </x:c>
      <x:c r="G462" s="71"/>
    </x:row>
    <x:row r="463">
      <x:c r="A463" s="74">
        <x:v>46144</x:v>
      </x:c>
      <x:c r="B463" s="76" t="s">
        <x:v>104</x:v>
      </x:c>
      <x:c r="C463" s="76" t="str">
        <x:f>IFERROR(VLOOKUP(B463,EPP!$B$7:$D$64,2,FALSE),"")</x:f>
        <x:v>DELANTAL GUADAÑADOR</x:v>
      </x:c>
      <x:c r="D463" s="76" t="str">
        <x:f>IFERROR(VLOOKUP(B463,EPP!$B$7:$D$64,3,FALSE),"")</x:f>
        <x:v>Unidad </x:v>
      </x:c>
      <x:c r="E463" s="76" t="s">
        <x:v>158</x:v>
      </x:c>
      <x:c r="F463" s="76">
        <x:v>1</x:v>
      </x:c>
      <x:c r="G463" s="71"/>
    </x:row>
    <x:row r="464">
      <x:c r="A464" s="74">
        <x:v>46145</x:v>
      </x:c>
      <x:c r="B464" s="76" t="s">
        <x:v>104</x:v>
      </x:c>
      <x:c r="C464" s="76" t="str">
        <x:f>IFERROR(VLOOKUP(B464,EPP!$B$7:$D$64,2,FALSE),"")</x:f>
        <x:v>DELANTAL GUADAÑADOR</x:v>
      </x:c>
      <x:c r="D464" s="76" t="str">
        <x:f>IFERROR(VLOOKUP(B464,EPP!$B$7:$D$64,3,FALSE),"")</x:f>
        <x:v>Unidad </x:v>
      </x:c>
      <x:c r="E464" s="76" t="s">
        <x:v>154</x:v>
      </x:c>
      <x:c r="F464" s="76">
        <x:v>1</x:v>
      </x:c>
      <x:c r="G464" s="71"/>
    </x:row>
    <x:row r="465">
      <x:c r="A465" s="74">
        <x:v>46146</x:v>
      </x:c>
      <x:c r="B465" s="76" t="s">
        <x:v>74</x:v>
      </x:c>
      <x:c r="C465" s="76" t="str">
        <x:f>IFERROR(VLOOKUP(B465,EPP!$B$7:$D$64,2,FALSE),"")</x:f>
        <x:v>GUANTE ANTICORTE T9</x:v>
      </x:c>
      <x:c r="D465" s="76" t="str">
        <x:f>IFERROR(VLOOKUP(B465,EPP!$B$7:$D$64,3,FALSE),"")</x:f>
        <x:v>Par</x:v>
      </x:c>
      <x:c r="E465" s="76" t="s">
        <x:v>146</x:v>
      </x:c>
      <x:c r="F465" s="76">
        <x:v>1</x:v>
      </x:c>
      <x:c r="G465" s="71"/>
    </x:row>
    <x:row r="466">
      <x:c r="A466" s="74">
        <x:v>46146</x:v>
      </x:c>
      <x:c r="B466" s="76" t="s">
        <x:v>58</x:v>
      </x:c>
      <x:c r="C466" s="76" t="str">
        <x:f>IFERROR(VLOOKUP(B466,EPP!$B$7:$D$64,2,FALSE),"")</x:f>
        <x:v>GUANTE INDUSTRIAL NITRILO CORTO T8</x:v>
      </x:c>
      <x:c r="D466" s="76" t="str">
        <x:f>IFERROR(VLOOKUP(B466,EPP!$B$7:$D$64,3,FALSE),"")</x:f>
        <x:v>Par</x:v>
      </x:c>
      <x:c r="E466" s="76" t="s">
        <x:v>183</x:v>
      </x:c>
      <x:c r="F466" s="76">
        <x:v>1</x:v>
      </x:c>
      <x:c r="G466" s="71"/>
    </x:row>
    <x:row r="467">
      <x:c r="A467" s="74">
        <x:v>46146</x:v>
      </x:c>
      <x:c r="B467" s="76" t="s">
        <x:v>58</x:v>
      </x:c>
      <x:c r="C467" s="76" t="str">
        <x:f>IFERROR(VLOOKUP(B467,EPP!$B$7:$D$64,2,FALSE),"")</x:f>
        <x:v>GUANTE INDUSTRIAL NITRILO CORTO T8</x:v>
      </x:c>
      <x:c r="D467" s="76" t="str">
        <x:f>IFERROR(VLOOKUP(B467,EPP!$B$7:$D$64,3,FALSE),"")</x:f>
        <x:v>Par</x:v>
      </x:c>
      <x:c r="E467" s="76" t="s">
        <x:v>182</x:v>
      </x:c>
      <x:c r="F467" s="76">
        <x:v>1</x:v>
      </x:c>
      <x:c r="G467" s="71"/>
    </x:row>
    <x:row r="468">
      <x:c r="A468" s="74">
        <x:v>46146</x:v>
      </x:c>
      <x:c r="B468" s="76" t="s">
        <x:v>58</x:v>
      </x:c>
      <x:c r="C468" s="76" t="str">
        <x:f>IFERROR(VLOOKUP(B468,EPP!$B$7:$D$64,2,FALSE),"")</x:f>
        <x:v>GUANTE INDUSTRIAL NITRILO CORTO T8</x:v>
      </x:c>
      <x:c r="D468" s="76" t="str">
        <x:f>IFERROR(VLOOKUP(B468,EPP!$B$7:$D$64,3,FALSE),"")</x:f>
        <x:v>Par</x:v>
      </x:c>
      <x:c r="E468" s="76" t="s">
        <x:v>181</x:v>
      </x:c>
      <x:c r="F468" s="76">
        <x:v>1</x:v>
      </x:c>
      <x:c r="G468" s="71"/>
    </x:row>
    <x:row r="469">
      <x:c r="A469" s="74">
        <x:v>46146</x:v>
      </x:c>
      <x:c r="B469" s="76" t="s">
        <x:v>58</x:v>
      </x:c>
      <x:c r="C469" s="76" t="str">
        <x:f>IFERROR(VLOOKUP(B469,EPP!$B$7:$D$64,2,FALSE),"")</x:f>
        <x:v>GUANTE INDUSTRIAL NITRILO CORTO T8</x:v>
      </x:c>
      <x:c r="D469" s="76" t="str">
        <x:f>IFERROR(VLOOKUP(B469,EPP!$B$7:$D$64,3,FALSE),"")</x:f>
        <x:v>Par</x:v>
      </x:c>
      <x:c r="E469" s="76" t="s">
        <x:v>178</x:v>
      </x:c>
      <x:c r="F469" s="76">
        <x:v>1</x:v>
      </x:c>
      <x:c r="G469" s="71"/>
    </x:row>
    <x:row r="470">
      <x:c r="A470" s="74">
        <x:v>46146</x:v>
      </x:c>
      <x:c r="B470" s="76" t="s">
        <x:v>58</x:v>
      </x:c>
      <x:c r="C470" s="76" t="str">
        <x:f>IFERROR(VLOOKUP(B470,EPP!$B$7:$D$64,2,FALSE),"")</x:f>
        <x:v>GUANTE INDUSTRIAL NITRILO CORTO T8</x:v>
      </x:c>
      <x:c r="D470" s="76" t="str">
        <x:f>IFERROR(VLOOKUP(B470,EPP!$B$7:$D$64,3,FALSE),"")</x:f>
        <x:v>Par</x:v>
      </x:c>
      <x:c r="E470" s="76" t="s">
        <x:v>179</x:v>
      </x:c>
      <x:c r="F470" s="76">
        <x:v>1</x:v>
      </x:c>
      <x:c r="G470" s="71"/>
    </x:row>
    <x:row r="471">
      <x:c r="A471" s="74">
        <x:v>46146</x:v>
      </x:c>
      <x:c r="B471" s="76" t="s">
        <x:v>60</x:v>
      </x:c>
      <x:c r="C471" s="76" t="str">
        <x:f>IFERROR(VLOOKUP(B471,EPP!$B$7:$D$64,2,FALSE),"")</x:f>
        <x:v>GUANTE INDUSTRIAL NITRILO CORTO T9</x:v>
      </x:c>
      <x:c r="D471" s="76" t="str">
        <x:f>IFERROR(VLOOKUP(B471,EPP!$B$7:$D$64,3,FALSE),"")</x:f>
        <x:v>Par</x:v>
      </x:c>
      <x:c r="E471" s="76" t="s">
        <x:v>180</x:v>
      </x:c>
      <x:c r="F471" s="76">
        <x:v>1</x:v>
      </x:c>
      <x:c r="G471" s="71"/>
    </x:row>
    <x:row r="472">
      <x:c r="A472" s="74">
        <x:v>46147</x:v>
      </x:c>
      <x:c r="B472" s="76" t="s">
        <x:v>27</x:v>
      </x:c>
      <x:c r="C472" s="76" t="str">
        <x:f>IFERROR(VLOOKUP(B472,EPP!$B$7:$D$64,2,FALSE),"")</x:f>
        <x:v>GAFAS LENTE OSCURO</x:v>
      </x:c>
      <x:c r="D472" s="76" t="str">
        <x:f>IFERROR(VLOOKUP(B472,EPP!$B$7:$D$64,3,FALSE),"")</x:f>
        <x:v>Unidad </x:v>
      </x:c>
      <x:c r="E472" s="76" t="s">
        <x:v>188</x:v>
      </x:c>
      <x:c r="F472" s="76">
        <x:v>1</x:v>
      </x:c>
      <x:c r="G472" s="71"/>
    </x:row>
    <x:row r="473">
      <x:c r="A473" s="74">
        <x:v>46147</x:v>
      </x:c>
      <x:c r="B473" s="76" t="s">
        <x:v>29</x:v>
      </x:c>
      <x:c r="C473" s="76" t="str">
        <x:f>IFERROR(VLOOKUP(B473,EPP!$B$7:$D$64,2,FALSE),"")</x:f>
        <x:v>GAFAS LENTE CLARO</x:v>
      </x:c>
      <x:c r="D473" s="76" t="str">
        <x:f>IFERROR(VLOOKUP(B473,EPP!$B$7:$D$64,3,FALSE),"")</x:f>
        <x:v>Unidad </x:v>
      </x:c>
      <x:c r="E473" s="76" t="s">
        <x:v>188</x:v>
      </x:c>
      <x:c r="F473" s="76">
        <x:v>1</x:v>
      </x:c>
      <x:c r="G473" s="71"/>
    </x:row>
    <x:row r="474">
      <x:c r="A474" s="74">
        <x:v>46147</x:v>
      </x:c>
      <x:c r="B474" s="76" t="s">
        <x:v>52</x:v>
      </x:c>
      <x:c r="C474" s="76" t="str">
        <x:f>IFERROR(VLOOKUP(B474,EPP!$B$7:$D$64,2,FALSE),"")</x:f>
        <x:v>GUANTES DE NITRILO TL</x:v>
      </x:c>
      <x:c r="D474" s="76" t="str">
        <x:f>IFERROR(VLOOKUP(B474,EPP!$B$7:$D$64,3,FALSE),"")</x:f>
        <x:v>Par</x:v>
      </x:c>
      <x:c r="E474" s="76" t="s">
        <x:v>188</x:v>
      </x:c>
      <x:c r="F474" s="76">
        <x:v>2</x:v>
      </x:c>
      <x:c r="G474" s="71"/>
    </x:row>
    <x:row r="475">
      <x:c r="A475" s="82">
        <x:v>46147</x:v>
      </x:c>
      <x:c r="B475" s="77" t="s">
        <x:v>100</x:v>
      </x:c>
      <x:c r="C475" s="77" t="str">
        <x:f>IFERROR(VLOOKUP(B475,EPP!$B$7:$D$64,2,FALSE),"")</x:f>
        <x:v>DELANTAL PARA USO INDUSTRIAL LARGO C25</x:v>
      </x:c>
      <x:c r="D475" s="77" t="str">
        <x:f>IFERROR(VLOOKUP(B475,EPP!$B$7:$D$64,3,FALSE),"")</x:f>
        <x:v>Unidad </x:v>
      </x:c>
      <x:c r="E475" s="77" t="s">
        <x:v>188</x:v>
      </x:c>
      <x:c r="F475" s="77">
        <x:v>1</x:v>
      </x:c>
      <x:c r="G475" s="71"/>
    </x:row>
    <x:row r="476">
      <x:c r="A476" s="17">
        <x:v>46147</x:v>
      </x:c>
      <x:c r="B476" s="16" t="s">
        <x:v>130</x:v>
      </x:c>
      <x:c r="C476" s="77" t="str">
        <x:f>IFERROR(VLOOKUP(B476,EPP!$B$7:$D$64,2,FALSE),"")</x:f>
        <x:v>IMPERMEABLE M</x:v>
      </x:c>
      <x:c r="D476" s="77" t="str">
        <x:f>IFERROR(VLOOKUP(B476,EPP!$B$7:$D$64,3,FALSE),"")</x:f>
        <x:v>Unidad </x:v>
      </x:c>
      <x:c r="E476" s="16" t="s">
        <x:v>188</x:v>
      </x:c>
      <x:c r="F476" s="77">
        <x:v>1</x:v>
      </x:c>
      <x:c r="G476" s="71"/>
    </x:row>
    <x:row r="477">
      <x:c r="A477" s="17">
        <x:v>46147</x:v>
      </x:c>
      <x:c r="B477" s="16" t="s">
        <x:v>128</x:v>
      </x:c>
      <x:c r="C477" s="77" t="str">
        <x:f>IFERROR(VLOOKUP(B477,EPP!$B$7:$D$64,2,FALSE),"")</x:f>
        <x:v>IMPERMEABLE L</x:v>
      </x:c>
      <x:c r="D477" s="77" t="str">
        <x:f>IFERROR(VLOOKUP(B477,EPP!$B$7:$D$64,3,FALSE),"")</x:f>
        <x:v>Unidad </x:v>
      </x:c>
      <x:c r="E477" s="16" t="s">
        <x:v>158</x:v>
      </x:c>
      <x:c r="F477" s="77">
        <x:v>1</x:v>
      </x:c>
      <x:c r="G477" s="71"/>
    </x:row>
    <x:row r="478">
      <x:c r="A478" s="74">
        <x:v>46150</x:v>
      </x:c>
      <x:c r="B478" s="76" t="s">
        <x:v>27</x:v>
      </x:c>
      <x:c r="C478" s="76" t="str">
        <x:f>IFERROR(VLOOKUP(B478,EPP!$B$7:$D$64,2,FALSE),"")</x:f>
        <x:v>GAFAS LENTE OSCURO</x:v>
      </x:c>
      <x:c r="D478" s="76" t="str">
        <x:f>IFERROR(VLOOKUP(B478,EPP!$B$7:$D$64,3,FALSE),"")</x:f>
        <x:v>Unidad </x:v>
      </x:c>
      <x:c r="E478" s="76" t="s">
        <x:v>157</x:v>
      </x:c>
      <x:c r="F478" s="76">
        <x:v>1</x:v>
      </x:c>
      <x:c r="G478" s="71"/>
    </x:row>
    <x:row r="479">
      <x:c r="A479" s="74">
        <x:v>46150</x:v>
      </x:c>
      <x:c r="B479" s="76" t="s">
        <x:v>27</x:v>
      </x:c>
      <x:c r="C479" s="76" t="str">
        <x:f>IFERROR(VLOOKUP(B479,EPP!$B$7:$D$64,2,FALSE),"")</x:f>
        <x:v>GAFAS LENTE OSCURO</x:v>
      </x:c>
      <x:c r="D479" s="76" t="str">
        <x:f>IFERROR(VLOOKUP(B479,EPP!$B$7:$D$64,3,FALSE),"")</x:f>
        <x:v>Unidad </x:v>
      </x:c>
      <x:c r="E479" s="76" t="s">
        <x:v>146</x:v>
      </x:c>
      <x:c r="F479" s="76">
        <x:v>1</x:v>
      </x:c>
      <x:c r="G479" s="71"/>
    </x:row>
    <x:row r="480">
      <x:c r="A480" s="74">
        <x:v>46150</x:v>
      </x:c>
      <x:c r="B480" s="76" t="s">
        <x:v>27</x:v>
      </x:c>
      <x:c r="C480" s="76" t="str">
        <x:f>IFERROR(VLOOKUP(B480,EPP!$B$7:$D$64,2,FALSE),"")</x:f>
        <x:v>GAFAS LENTE OSCURO</x:v>
      </x:c>
      <x:c r="D480" s="76" t="str">
        <x:f>IFERROR(VLOOKUP(B480,EPP!$B$7:$D$64,3,FALSE),"")</x:f>
        <x:v>Unidad </x:v>
      </x:c>
      <x:c r="E480" s="76" t="s">
        <x:v>148</x:v>
      </x:c>
      <x:c r="F480" s="76">
        <x:v>1</x:v>
      </x:c>
      <x:c r="G480" s="71"/>
    </x:row>
    <x:row r="481">
      <x:c r="A481" s="74">
        <x:v>46150</x:v>
      </x:c>
      <x:c r="B481" s="76" t="s">
        <x:v>70</x:v>
      </x:c>
      <x:c r="C481" s="76" t="str">
        <x:f>IFERROR(VLOOKUP(B481,EPP!$B$7:$D$64,2,FALSE),"")</x:f>
        <x:v>GUANTES DE VAQUETA CORTO T UNICA</x:v>
      </x:c>
      <x:c r="D481" s="76" t="str">
        <x:f>IFERROR(VLOOKUP(B481,EPP!$B$7:$D$64,3,FALSE),"")</x:f>
        <x:v>Par</x:v>
      </x:c>
      <x:c r="E481" s="76" t="s">
        <x:v>189</x:v>
      </x:c>
      <x:c r="F481" s="76">
        <x:v>1</x:v>
      </x:c>
      <x:c r="G481" s="71"/>
    </x:row>
    <x:row r="482">
      <x:c r="A482" s="74">
        <x:v>46152</x:v>
      </x:c>
      <x:c r="B482" s="76" t="s">
        <x:v>52</x:v>
      </x:c>
      <x:c r="C482" s="76" t="str">
        <x:f>IFERROR(VLOOKUP(B482,EPP!$B$7:$D$64,2,FALSE),"")</x:f>
        <x:v>GUANTES DE NITRILO TL</x:v>
      </x:c>
      <x:c r="D482" s="76" t="str">
        <x:f>IFERROR(VLOOKUP(B482,EPP!$B$7:$D$64,3,FALSE),"")</x:f>
        <x:v>Par</x:v>
      </x:c>
      <x:c r="E482" s="76" t="s">
        <x:v>188</x:v>
      </x:c>
      <x:c r="F482" s="76">
        <x:v>1</x:v>
      </x:c>
      <x:c r="G482" s="71"/>
    </x:row>
    <x:row r="483">
      <x:c r="A483" s="74">
        <x:v>46153</x:v>
      </x:c>
      <x:c r="B483" s="76" t="s">
        <x:v>58</x:v>
      </x:c>
      <x:c r="C483" s="76" t="str">
        <x:f>IFERROR(VLOOKUP(B483,EPP!$B$7:$D$64,2,FALSE),"")</x:f>
        <x:v>GUANTE INDUSTRIAL NITRILO CORTO T8</x:v>
      </x:c>
      <x:c r="D483" s="76" t="str">
        <x:f>IFERROR(VLOOKUP(B483,EPP!$B$7:$D$64,3,FALSE),"")</x:f>
        <x:v>Par</x:v>
      </x:c>
      <x:c r="E483" s="76" t="s">
        <x:v>145</x:v>
      </x:c>
      <x:c r="F483" s="76">
        <x:v>1</x:v>
      </x:c>
      <x:c r="G483" s="71"/>
    </x:row>
    <x:row r="484">
      <x:c r="A484" s="74">
        <x:v>46153</x:v>
      </x:c>
      <x:c r="B484" s="76" t="s">
        <x:v>27</x:v>
      </x:c>
      <x:c r="C484" s="76" t="str">
        <x:f>IFERROR(VLOOKUP(B484,EPP!$B$7:$D$64,2,FALSE),"")</x:f>
        <x:v>GAFAS LENTE OSCURO</x:v>
      </x:c>
      <x:c r="D484" s="76" t="str">
        <x:f>IFERROR(VLOOKUP(B484,EPP!$B$7:$D$64,3,FALSE),"")</x:f>
        <x:v>Unidad </x:v>
      </x:c>
      <x:c r="E484" s="76" t="s">
        <x:v>169</x:v>
      </x:c>
      <x:c r="F484" s="76">
        <x:v>1</x:v>
      </x:c>
      <x:c r="G484" s="71"/>
    </x:row>
    <x:row r="485">
      <x:c r="A485" s="74">
        <x:v>46153</x:v>
      </x:c>
      <x:c r="B485" s="76" t="s">
        <x:v>46</x:v>
      </x:c>
      <x:c r="C485" s="76" t="str">
        <x:f>IFERROR(VLOOKUP(B485,EPP!$B$7:$D$64,2,FALSE),"")</x:f>
        <x:v>RESPIRADOR KN95</x:v>
      </x:c>
      <x:c r="D485" s="76" t="str">
        <x:f>IFERROR(VLOOKUP(B485,EPP!$B$7:$D$64,3,FALSE),"")</x:f>
        <x:v>Unidad </x:v>
      </x:c>
      <x:c r="E485" s="76" t="s">
        <x:v>169</x:v>
      </x:c>
      <x:c r="F485" s="76">
        <x:v>1</x:v>
      </x:c>
      <x:c r="G485" s="71"/>
    </x:row>
    <x:row r="486">
      <x:c r="A486" s="74">
        <x:v>46153</x:v>
      </x:c>
      <x:c r="B486" s="76" t="s">
        <x:v>86</x:v>
      </x:c>
      <x:c r="C486" s="76" t="str">
        <x:f>IFERROR(VLOOKUP(B486,EPP!$B$7:$D$64,2,FALSE),"")</x:f>
        <x:v>GUANTE KIM- NITRILO ARENADO T10</x:v>
      </x:c>
      <x:c r="D486" s="76" t="str">
        <x:f>IFERROR(VLOOKUP(B486,EPP!$B$7:$D$64,3,FALSE),"")</x:f>
        <x:v>Par</x:v>
      </x:c>
      <x:c r="E486" s="76" t="s">
        <x:v>169</x:v>
      </x:c>
      <x:c r="F486" s="76">
        <x:v>1</x:v>
      </x:c>
      <x:c r="G486" s="71"/>
    </x:row>
    <x:row r="487">
      <x:c r="A487" s="74">
        <x:v>46153</x:v>
      </x:c>
      <x:c r="B487" s="76" t="s">
        <x:v>78</x:v>
      </x:c>
      <x:c r="C487" s="76" t="str">
        <x:f>IFERROR(VLOOKUP(B487,EPP!$B$7:$D$64,2,FALSE),"")</x:f>
        <x:v>GUANTE KIM- NITRILO ARENADO T9</x:v>
      </x:c>
      <x:c r="D487" s="76" t="str">
        <x:f>IFERROR(VLOOKUP(B487,EPP!$B$7:$D$64,3,FALSE),"")</x:f>
        <x:v>Par</x:v>
      </x:c>
      <x:c r="E487" s="76" t="s">
        <x:v>149</x:v>
      </x:c>
      <x:c r="F487" s="76">
        <x:v>1</x:v>
      </x:c>
      <x:c r="G487" s="71"/>
    </x:row>
    <x:row r="488">
      <x:c r="A488" s="74">
        <x:v>46153</x:v>
      </x:c>
      <x:c r="B488" s="76" t="s">
        <x:v>27</x:v>
      </x:c>
      <x:c r="C488" s="76" t="str">
        <x:f>IFERROR(VLOOKUP(B488,EPP!$B$7:$D$64,2,FALSE),"")</x:f>
        <x:v>GAFAS LENTE OSCURO</x:v>
      </x:c>
      <x:c r="D488" s="76" t="str">
        <x:f>IFERROR(VLOOKUP(B488,EPP!$B$7:$D$64,3,FALSE),"")</x:f>
        <x:v>Unidad </x:v>
      </x:c>
      <x:c r="E488" s="76" t="s">
        <x:v>166</x:v>
      </x:c>
      <x:c r="F488" s="76">
        <x:v>1</x:v>
      </x:c>
      <x:c r="G488" s="71"/>
    </x:row>
    <x:row r="489">
      <x:c r="A489" s="74">
        <x:v>46153</x:v>
      </x:c>
      <x:c r="B489" s="76" t="s">
        <x:v>50</x:v>
      </x:c>
      <x:c r="C489" s="76" t="str">
        <x:f>IFERROR(VLOOKUP(B489,EPP!$B$7:$D$64,2,FALSE),"")</x:f>
        <x:v>TAPABOCAS INDUSTRIAL NEGRO</x:v>
      </x:c>
      <x:c r="D489" s="76" t="str">
        <x:f>IFERROR(VLOOKUP(B489,EPP!$B$7:$D$64,3,FALSE),"")</x:f>
        <x:v>Unidad </x:v>
      </x:c>
      <x:c r="E489" s="76" t="s">
        <x:v>166</x:v>
      </x:c>
      <x:c r="F489" s="76">
        <x:v>1</x:v>
      </x:c>
      <x:c r="G489" s="71"/>
    </x:row>
    <x:row r="490">
      <x:c r="A490" s="74">
        <x:v>46153</x:v>
      </x:c>
      <x:c r="B490" s="76" t="s">
        <x:v>86</x:v>
      </x:c>
      <x:c r="C490" s="76" t="str">
        <x:f>IFERROR(VLOOKUP(B490,EPP!$B$7:$D$64,2,FALSE),"")</x:f>
        <x:v>GUANTE KIM- NITRILO ARENADO T10</x:v>
      </x:c>
      <x:c r="D490" s="76" t="str">
        <x:f>IFERROR(VLOOKUP(B490,EPP!$B$7:$D$64,3,FALSE),"")</x:f>
        <x:v>Par</x:v>
      </x:c>
      <x:c r="E490" s="76" t="s">
        <x:v>166</x:v>
      </x:c>
      <x:c r="F490" s="76">
        <x:v>1</x:v>
      </x:c>
      <x:c r="G490" s="71"/>
    </x:row>
    <x:row r="491">
      <x:c r="A491" s="74">
        <x:v>46153</x:v>
      </x:c>
      <x:c r="B491" s="76" t="s">
        <x:v>29</x:v>
      </x:c>
      <x:c r="C491" s="76" t="str">
        <x:f>IFERROR(VLOOKUP(B491,EPP!$B$7:$D$64,2,FALSE),"")</x:f>
        <x:v>GAFAS LENTE CLARO</x:v>
      </x:c>
      <x:c r="D491" s="76" t="str">
        <x:f>IFERROR(VLOOKUP(B491,EPP!$B$7:$D$64,3,FALSE),"")</x:f>
        <x:v>Unidad </x:v>
      </x:c>
      <x:c r="E491" s="76" t="s">
        <x:v>166</x:v>
      </x:c>
      <x:c r="F491" s="76">
        <x:v>1</x:v>
      </x:c>
      <x:c r="G491" s="71"/>
    </x:row>
    <x:row r="492">
      <x:c r="A492" s="74">
        <x:v>46153</x:v>
      </x:c>
      <x:c r="B492" s="76" t="s">
        <x:v>86</x:v>
      </x:c>
      <x:c r="C492" s="76" t="str">
        <x:f>IFERROR(VLOOKUP(B492,EPP!$B$7:$D$64,2,FALSE),"")</x:f>
        <x:v>GUANTE KIM- NITRILO ARENADO T10</x:v>
      </x:c>
      <x:c r="D492" s="76" t="str">
        <x:f>IFERROR(VLOOKUP(B492,EPP!$B$7:$D$64,3,FALSE),"")</x:f>
        <x:v>Par</x:v>
      </x:c>
      <x:c r="E492" s="76" t="s">
        <x:v>154</x:v>
      </x:c>
      <x:c r="F492" s="76">
        <x:v>1</x:v>
      </x:c>
      <x:c r="G492" s="71"/>
    </x:row>
    <x:row r="493">
      <x:c r="A493" s="74">
        <x:v>46153</x:v>
      </x:c>
      <x:c r="B493" s="76" t="s">
        <x:v>78</x:v>
      </x:c>
      <x:c r="C493" s="76" t="str">
        <x:f>IFERROR(VLOOKUP(B493,EPP!$B$7:$D$64,2,FALSE),"")</x:f>
        <x:v>GUANTE KIM- NITRILO ARENADO T9</x:v>
      </x:c>
      <x:c r="D493" s="76" t="str">
        <x:f>IFERROR(VLOOKUP(B493,EPP!$B$7:$D$64,3,FALSE),"")</x:f>
        <x:v>Par</x:v>
      </x:c>
      <x:c r="E493" s="76" t="s">
        <x:v>161</x:v>
      </x:c>
      <x:c r="F493" s="76">
        <x:v>1</x:v>
      </x:c>
      <x:c r="G493" s="71"/>
    </x:row>
    <x:row r="494">
      <x:c r="A494" s="74">
        <x:v>46153</x:v>
      </x:c>
      <x:c r="B494" s="76" t="s">
        <x:v>50</x:v>
      </x:c>
      <x:c r="C494" s="76" t="str">
        <x:f>IFERROR(VLOOKUP(B494,EPP!$B$7:$D$64,2,FALSE),"")</x:f>
        <x:v>TAPABOCAS INDUSTRIAL NEGRO</x:v>
      </x:c>
      <x:c r="D494" s="76" t="str">
        <x:f>IFERROR(VLOOKUP(B494,EPP!$B$7:$D$64,3,FALSE),"")</x:f>
        <x:v>Unidad </x:v>
      </x:c>
      <x:c r="E494" s="76" t="s">
        <x:v>148</x:v>
      </x:c>
      <x:c r="F494" s="76">
        <x:v>1</x:v>
      </x:c>
      <x:c r="G494" s="71"/>
    </x:row>
    <x:row r="495">
      <x:c r="A495" s="74">
        <x:v>46153</x:v>
      </x:c>
      <x:c r="B495" s="76" t="s">
        <x:v>29</x:v>
      </x:c>
      <x:c r="C495" s="76" t="str">
        <x:f>IFERROR(VLOOKUP(B495,EPP!$B$7:$D$64,2,FALSE),"")</x:f>
        <x:v>GAFAS LENTE CLARO</x:v>
      </x:c>
      <x:c r="D495" s="76" t="str">
        <x:f>IFERROR(VLOOKUP(B495,EPP!$B$7:$D$64,3,FALSE),"")</x:f>
        <x:v>Unidad </x:v>
      </x:c>
      <x:c r="E495" s="76" t="s">
        <x:v>164</x:v>
      </x:c>
      <x:c r="F495" s="76">
        <x:v>1</x:v>
      </x:c>
      <x:c r="G495" s="71"/>
    </x:row>
    <x:row r="496">
      <x:c r="A496" s="74">
        <x:v>46153</x:v>
      </x:c>
      <x:c r="B496" s="76" t="s">
        <x:v>27</x:v>
      </x:c>
      <x:c r="C496" s="76" t="str">
        <x:f>IFERROR(VLOOKUP(B496,EPP!$B$7:$D$64,2,FALSE),"")</x:f>
        <x:v>GAFAS LENTE OSCURO</x:v>
      </x:c>
      <x:c r="D496" s="76" t="str">
        <x:f>IFERROR(VLOOKUP(B496,EPP!$B$7:$D$64,3,FALSE),"")</x:f>
        <x:v>Unidad </x:v>
      </x:c>
      <x:c r="E496" s="76" t="s">
        <x:v>164</x:v>
      </x:c>
      <x:c r="F496" s="76">
        <x:v>1</x:v>
      </x:c>
      <x:c r="G496" s="71"/>
    </x:row>
    <x:row r="497">
      <x:c r="A497" s="74">
        <x:v>46153</x:v>
      </x:c>
      <x:c r="B497" s="76" t="s">
        <x:v>42</x:v>
      </x:c>
      <x:c r="C497" s="76" t="str">
        <x:f>IFERROR(VLOOKUP(B497,EPP!$B$7:$D$64,2,FALSE),"")</x:f>
        <x:v>FILTROS PARA MASCARA 6003</x:v>
      </x:c>
      <x:c r="D497" s="76" t="str">
        <x:f>IFERROR(VLOOKUP(B497,EPP!$B$7:$D$64,3,FALSE),"")</x:f>
        <x:v>Par</x:v>
      </x:c>
      <x:c r="E497" s="76" t="s">
        <x:v>164</x:v>
      </x:c>
      <x:c r="F497" s="76">
        <x:v>1</x:v>
      </x:c>
      <x:c r="G497" s="71"/>
    </x:row>
    <x:row r="498">
      <x:c r="A498" s="74">
        <x:v>46153</x:v>
      </x:c>
      <x:c r="B498" s="76" t="s">
        <x:v>78</x:v>
      </x:c>
      <x:c r="C498" s="76" t="str">
        <x:f>IFERROR(VLOOKUP(B498,EPP!$B$7:$D$64,2,FALSE),"")</x:f>
        <x:v>GUANTE KIM- NITRILO ARENADO T9</x:v>
      </x:c>
      <x:c r="D498" s="76" t="str">
        <x:f>IFERROR(VLOOKUP(B498,EPP!$B$7:$D$64,3,FALSE),"")</x:f>
        <x:v>Par</x:v>
      </x:c>
      <x:c r="E498" s="76" t="s">
        <x:v>157</x:v>
      </x:c>
      <x:c r="F498" s="76">
        <x:v>1</x:v>
      </x:c>
      <x:c r="G498" s="71"/>
    </x:row>
    <x:row r="499">
      <x:c r="A499" s="74">
        <x:v>46153</x:v>
      </x:c>
      <x:c r="B499" s="76" t="s">
        <x:v>88</x:v>
      </x:c>
      <x:c r="C499" s="76" t="str">
        <x:f>IFERROR(VLOOKUP(B499,EPP!$B$7:$D$64,2,FALSE),"")</x:f>
        <x:v>PROTECTOR AUDITIVO INSERCIÓN</x:v>
      </x:c>
      <x:c r="D499" s="76" t="str">
        <x:f>IFERROR(VLOOKUP(B499,EPP!$B$7:$D$64,3,FALSE),"")</x:f>
        <x:v>Unidad </x:v>
      </x:c>
      <x:c r="E499" s="76" t="s">
        <x:v>157</x:v>
      </x:c>
      <x:c r="F499" s="76">
        <x:v>1</x:v>
      </x:c>
      <x:c r="G499" s="71"/>
    </x:row>
    <x:row r="500">
      <x:c r="A500" s="74">
        <x:v>46153</x:v>
      </x:c>
      <x:c r="B500" s="76" t="s">
        <x:v>50</x:v>
      </x:c>
      <x:c r="C500" s="76" t="str">
        <x:f>IFERROR(VLOOKUP(B500,EPP!$B$7:$D$64,2,FALSE),"")</x:f>
        <x:v>TAPABOCAS INDUSTRIAL NEGRO</x:v>
      </x:c>
      <x:c r="D500" s="76" t="str">
        <x:f>IFERROR(VLOOKUP(B500,EPP!$B$7:$D$64,3,FALSE),"")</x:f>
        <x:v>Unidad </x:v>
      </x:c>
      <x:c r="E500" s="76" t="s">
        <x:v>143</x:v>
      </x:c>
      <x:c r="F500" s="76">
        <x:v>1</x:v>
      </x:c>
      <x:c r="G500" s="71"/>
    </x:row>
    <x:row r="501">
      <x:c r="A501" s="74">
        <x:v>46153</x:v>
      </x:c>
      <x:c r="B501" s="76" t="s">
        <x:v>78</x:v>
      </x:c>
      <x:c r="C501" s="76" t="str">
        <x:f>IFERROR(VLOOKUP(B501,EPP!$B$7:$D$64,2,FALSE),"")</x:f>
        <x:v>GUANTE KIM- NITRILO ARENADO T9</x:v>
      </x:c>
      <x:c r="D501" s="76" t="str">
        <x:f>IFERROR(VLOOKUP(B501,EPP!$B$7:$D$64,3,FALSE),"")</x:f>
        <x:v>Par</x:v>
      </x:c>
      <x:c r="E501" s="76" t="s">
        <x:v>189</x:v>
      </x:c>
      <x:c r="F501" s="76">
        <x:v>1</x:v>
      </x:c>
      <x:c r="G501" s="71"/>
    </x:row>
    <x:row r="502">
      <x:c r="A502" s="74">
        <x:v>46153</x:v>
      </x:c>
      <x:c r="B502" s="76" t="s">
        <x:v>88</x:v>
      </x:c>
      <x:c r="C502" s="76" t="str">
        <x:f>IFERROR(VLOOKUP(B502,EPP!$B$7:$D$64,2,FALSE),"")</x:f>
        <x:v>PROTECTOR AUDITIVO INSERCIÓN</x:v>
      </x:c>
      <x:c r="D502" s="76" t="str">
        <x:f>IFERROR(VLOOKUP(B502,EPP!$B$7:$D$64,3,FALSE),"")</x:f>
        <x:v>Unidad </x:v>
      </x:c>
      <x:c r="E502" s="76" t="s">
        <x:v>147</x:v>
      </x:c>
      <x:c r="F502" s="76">
        <x:v>1</x:v>
      </x:c>
      <x:c r="G502" s="71"/>
    </x:row>
    <x:row r="503">
      <x:c r="A503" s="74">
        <x:v>46154</x:v>
      </x:c>
      <x:c r="B503" s="76" t="s">
        <x:v>46</x:v>
      </x:c>
      <x:c r="C503" s="76" t="str">
        <x:f>IFERROR(VLOOKUP(B503,EPP!$B$7:$D$64,2,FALSE),"")</x:f>
        <x:v>RESPIRADOR KN95</x:v>
      </x:c>
      <x:c r="D503" s="76" t="str">
        <x:f>IFERROR(VLOOKUP(B503,EPP!$B$7:$D$64,3,FALSE),"")</x:f>
        <x:v>Unidad </x:v>
      </x:c>
      <x:c r="E503" s="76" t="s">
        <x:v>145</x:v>
      </x:c>
      <x:c r="F503" s="76">
        <x:v>1</x:v>
      </x:c>
      <x:c r="G503" s="71"/>
    </x:row>
    <x:row r="504">
      <x:c r="A504" s="74">
        <x:v>46154</x:v>
      </x:c>
      <x:c r="B504" s="76" t="s">
        <x:v>46</x:v>
      </x:c>
      <x:c r="C504" s="76" t="str">
        <x:f>IFERROR(VLOOKUP(B504,EPP!$B$7:$D$64,2,FALSE),"")</x:f>
        <x:v>RESPIRADOR KN95</x:v>
      </x:c>
      <x:c r="D504" s="76" t="str">
        <x:f>IFERROR(VLOOKUP(B504,EPP!$B$7:$D$64,3,FALSE),"")</x:f>
        <x:v>Unidad </x:v>
      </x:c>
      <x:c r="E504" s="76" t="s">
        <x:v>188</x:v>
      </x:c>
      <x:c r="F504" s="76">
        <x:v>1</x:v>
      </x:c>
      <x:c r="G504" s="71"/>
    </x:row>
    <x:row r="505">
      <x:c r="A505" s="74">
        <x:v>46154</x:v>
      </x:c>
      <x:c r="B505" s="76" t="s">
        <x:v>52</x:v>
      </x:c>
      <x:c r="C505" s="76" t="str">
        <x:f>IFERROR(VLOOKUP(B505,EPP!$B$7:$D$64,2,FALSE),"")</x:f>
        <x:v>GUANTES DE NITRILO TL</x:v>
      </x:c>
      <x:c r="D505" s="76" t="str">
        <x:f>IFERROR(VLOOKUP(B505,EPP!$B$7:$D$64,3,FALSE),"")</x:f>
        <x:v>Par</x:v>
      </x:c>
      <x:c r="E505" s="76" t="s">
        <x:v>148</x:v>
      </x:c>
      <x:c r="F505" s="76">
        <x:v>1</x:v>
      </x:c>
      <x:c r="G505" s="71"/>
    </x:row>
    <x:row r="506">
      <x:c r="A506" s="74">
        <x:v>46154</x:v>
      </x:c>
      <x:c r="B506" s="76" t="s">
        <x:v>78</x:v>
      </x:c>
      <x:c r="C506" s="76" t="str">
        <x:f>IFERROR(VLOOKUP(B506,EPP!$B$7:$D$64,2,FALSE),"")</x:f>
        <x:v>GUANTE KIM- NITRILO ARENADO T9</x:v>
      </x:c>
      <x:c r="D506" s="76" t="str">
        <x:f>IFERROR(VLOOKUP(B506,EPP!$B$7:$D$64,3,FALSE),"")</x:f>
        <x:v>Par</x:v>
      </x:c>
      <x:c r="E506" s="76" t="s">
        <x:v>146</x:v>
      </x:c>
      <x:c r="F506" s="76">
        <x:v>1</x:v>
      </x:c>
      <x:c r="G506" s="71"/>
    </x:row>
    <x:row r="507">
      <x:c r="A507" s="74">
        <x:v>46154</x:v>
      </x:c>
      <x:c r="B507" s="76" t="s">
        <x:v>74</x:v>
      </x:c>
      <x:c r="C507" s="76" t="str">
        <x:f>IFERROR(VLOOKUP(B507,EPP!$B$7:$D$64,2,FALSE),"")</x:f>
        <x:v>GUANTE ANTICORTE T9</x:v>
      </x:c>
      <x:c r="D507" s="76" t="str">
        <x:f>IFERROR(VLOOKUP(B507,EPP!$B$7:$D$64,3,FALSE),"")</x:f>
        <x:v>Par</x:v>
      </x:c>
      <x:c r="E507" s="76" t="s">
        <x:v>190</x:v>
      </x:c>
      <x:c r="F507" s="76">
        <x:v>1</x:v>
      </x:c>
      <x:c r="G507" s="71"/>
    </x:row>
    <x:row r="508">
      <x:c r="A508" s="74">
        <x:v>46154</x:v>
      </x:c>
      <x:c r="B508" s="76" t="s">
        <x:v>29</x:v>
      </x:c>
      <x:c r="C508" s="76" t="str">
        <x:f>IFERROR(VLOOKUP(B508,EPP!$B$7:$D$64,2,FALSE),"")</x:f>
        <x:v>GAFAS LENTE CLARO</x:v>
      </x:c>
      <x:c r="D508" s="76" t="str">
        <x:f>IFERROR(VLOOKUP(B508,EPP!$B$7:$D$64,3,FALSE),"")</x:f>
        <x:v>Unidad </x:v>
      </x:c>
      <x:c r="E508" s="76" t="s">
        <x:v>190</x:v>
      </x:c>
      <x:c r="F508" s="76">
        <x:v>1</x:v>
      </x:c>
      <x:c r="G508" s="71"/>
    </x:row>
    <x:row r="509">
      <x:c r="A509" s="74">
        <x:v>46154</x:v>
      </x:c>
      <x:c r="B509" s="76" t="s">
        <x:v>27</x:v>
      </x:c>
      <x:c r="C509" s="76" t="str">
        <x:f>IFERROR(VLOOKUP(B509,EPP!$B$7:$D$64,2,FALSE),"")</x:f>
        <x:v>GAFAS LENTE OSCURO</x:v>
      </x:c>
      <x:c r="D509" s="76" t="str">
        <x:f>IFERROR(VLOOKUP(B509,EPP!$B$7:$D$64,3,FALSE),"")</x:f>
        <x:v>Unidad </x:v>
      </x:c>
      <x:c r="E509" s="76" t="s">
        <x:v>154</x:v>
      </x:c>
      <x:c r="F509" s="76">
        <x:v>1</x:v>
      </x:c>
      <x:c r="G509" s="71"/>
    </x:row>
    <x:row r="510">
      <x:c r="A510" s="74">
        <x:v>46154</x:v>
      </x:c>
      <x:c r="B510" s="76" t="s">
        <x:v>29</x:v>
      </x:c>
      <x:c r="C510" s="76" t="str">
        <x:f>IFERROR(VLOOKUP(B510,EPP!$B$7:$D$64,2,FALSE),"")</x:f>
        <x:v>GAFAS LENTE CLARO</x:v>
      </x:c>
      <x:c r="D510" s="76" t="str">
        <x:f>IFERROR(VLOOKUP(B510,EPP!$B$7:$D$64,3,FALSE),"")</x:f>
        <x:v>Unidad </x:v>
      </x:c>
      <x:c r="E510" s="76" t="s">
        <x:v>157</x:v>
      </x:c>
      <x:c r="F510" s="76">
        <x:v>1</x:v>
      </x:c>
      <x:c r="G510" s="71"/>
    </x:row>
    <x:row r="511">
      <x:c r="A511" s="74">
        <x:v>46154</x:v>
      </x:c>
      <x:c r="B511" s="76" t="s">
        <x:v>88</x:v>
      </x:c>
      <x:c r="C511" s="76" t="str">
        <x:f>IFERROR(VLOOKUP(B511,EPP!$B$7:$D$64,2,FALSE),"")</x:f>
        <x:v>PROTECTOR AUDITIVO INSERCIÓN</x:v>
      </x:c>
      <x:c r="D511" s="76" t="str">
        <x:f>IFERROR(VLOOKUP(B511,EPP!$B$7:$D$64,3,FALSE),"")</x:f>
        <x:v>Unidad </x:v>
      </x:c>
      <x:c r="E511" s="76" t="s">
        <x:v>157</x:v>
      </x:c>
      <x:c r="F511" s="76">
        <x:v>1</x:v>
      </x:c>
      <x:c r="G511" s="71"/>
    </x:row>
    <x:row r="512">
      <x:c r="A512" s="74">
        <x:v>46155</x:v>
      </x:c>
      <x:c r="B512" s="76" t="s">
        <x:v>52</x:v>
      </x:c>
      <x:c r="C512" s="76" t="str">
        <x:f>IFERROR(VLOOKUP(B512,EPP!$B$7:$D$64,2,FALSE),"")</x:f>
        <x:v>GUANTES DE NITRILO TL</x:v>
      </x:c>
      <x:c r="D512" s="76" t="str">
        <x:f>IFERROR(VLOOKUP(B512,EPP!$B$7:$D$64,3,FALSE),"")</x:f>
        <x:v>Par</x:v>
      </x:c>
      <x:c r="E512" s="76" t="s">
        <x:v>148</x:v>
      </x:c>
      <x:c r="F512" s="76">
        <x:v>1</x:v>
      </x:c>
      <x:c r="G512" s="71"/>
    </x:row>
    <x:row r="513">
      <x:c r="A513" s="74">
        <x:v>46155</x:v>
      </x:c>
      <x:c r="B513" s="76" t="s">
        <x:v>52</x:v>
      </x:c>
      <x:c r="C513" s="76" t="str">
        <x:f>IFERROR(VLOOKUP(B513,EPP!$B$7:$D$64,2,FALSE),"")</x:f>
        <x:v>GUANTES DE NITRILO TL</x:v>
      </x:c>
      <x:c r="D513" s="76" t="str">
        <x:f>IFERROR(VLOOKUP(B513,EPP!$B$7:$D$64,3,FALSE),"")</x:f>
        <x:v>Par</x:v>
      </x:c>
      <x:c r="E513" s="76" t="s">
        <x:v>188</x:v>
      </x:c>
      <x:c r="F513" s="76">
        <x:v>1</x:v>
      </x:c>
      <x:c r="G513" s="71"/>
    </x:row>
    <x:row r="514">
      <x:c r="A514" s="74">
        <x:v>46155</x:v>
      </x:c>
      <x:c r="B514" s="76" t="s">
        <x:v>31</x:v>
      </x:c>
      <x:c r="C514" s="76" t="str">
        <x:f>IFERROR(VLOOKUP(B514,EPP!$B$7:$D$64,2,FALSE),"")</x:f>
        <x:v>MONOGAFAS</x:v>
      </x:c>
      <x:c r="D514" s="76" t="str">
        <x:f>IFERROR(VLOOKUP(B514,EPP!$B$7:$D$64,3,FALSE),"")</x:f>
        <x:v>Unidad </x:v>
      </x:c>
      <x:c r="E514" s="76" t="s">
        <x:v>146</x:v>
      </x:c>
      <x:c r="F514" s="76">
        <x:v>1</x:v>
      </x:c>
      <x:c r="G514" s="71"/>
    </x:row>
    <x:row r="515">
      <x:c r="A515" s="74">
        <x:v>46155</x:v>
      </x:c>
      <x:c r="B515" s="76" t="s">
        <x:v>39</x:v>
      </x:c>
      <x:c r="C515" s="76" t="str">
        <x:f>IFERROR(VLOOKUP(B515,EPP!$B$7:$D$64,2,FALSE),"")</x:f>
        <x:v>MASCARA RESPIRADOR MEDIA CARA 3M 6200 TM </x:v>
      </x:c>
      <x:c r="D515" s="76" t="str">
        <x:f>IFERROR(VLOOKUP(B515,EPP!$B$7:$D$64,3,FALSE),"")</x:f>
        <x:v>Par</x:v>
      </x:c>
      <x:c r="E515" s="76" t="s">
        <x:v>146</x:v>
      </x:c>
      <x:c r="F515" s="76">
        <x:v>1</x:v>
      </x:c>
      <x:c r="G515" s="71"/>
    </x:row>
    <x:row r="516">
      <x:c r="A516" s="74">
        <x:v>46155</x:v>
      </x:c>
      <x:c r="B516" s="76" t="s">
        <x:v>42</x:v>
      </x:c>
      <x:c r="C516" s="76" t="str">
        <x:f>IFERROR(VLOOKUP(B516,EPP!$B$7:$D$64,2,FALSE),"")</x:f>
        <x:v>FILTROS PARA MASCARA 6003</x:v>
      </x:c>
      <x:c r="D516" s="76" t="str">
        <x:f>IFERROR(VLOOKUP(B516,EPP!$B$7:$D$64,3,FALSE),"")</x:f>
        <x:v>Par</x:v>
      </x:c>
      <x:c r="E516" s="76" t="s">
        <x:v>146</x:v>
      </x:c>
      <x:c r="F516" s="76">
        <x:v>1</x:v>
      </x:c>
      <x:c r="G516" s="71"/>
    </x:row>
    <x:row r="517">
      <x:c r="A517" s="82">
        <x:v>46155</x:v>
      </x:c>
      <x:c r="B517" s="77" t="s">
        <x:v>58</x:v>
      </x:c>
      <x:c r="C517" s="77" t="str">
        <x:f>IFERROR(VLOOKUP(B517,EPP!$B$7:$D$64,2,FALSE),"")</x:f>
        <x:v>GUANTE INDUSTRIAL NITRILO CORTO T8</x:v>
      </x:c>
      <x:c r="D517" s="77" t="str">
        <x:f>IFERROR(VLOOKUP(B517,EPP!$B$7:$D$64,3,FALSE),"")</x:f>
        <x:v>Par</x:v>
      </x:c>
      <x:c r="E517" s="77" t="s">
        <x:v>146</x:v>
      </x:c>
      <x:c r="F517" s="77">
        <x:v>1</x:v>
      </x:c>
      <x:c r="G517" s="71"/>
    </x:row>
    <x:row r="518">
      <x:c r="A518" s="74">
        <x:v>46156</x:v>
      </x:c>
      <x:c r="B518" s="76" t="s">
        <x:v>90</x:v>
      </x:c>
      <x:c r="C518" s="76" t="str">
        <x:f>IFERROR(VLOOKUP(B518,EPP!$B$7:$D$64,2,FALSE),"")</x:f>
        <x:v>PROTECTOR AUDITIVO COPA</x:v>
      </x:c>
      <x:c r="D518" s="76" t="str">
        <x:f>IFERROR(VLOOKUP(B518,EPP!$B$7:$D$64,3,FALSE),"")</x:f>
        <x:v>Unidad </x:v>
      </x:c>
      <x:c r="E518" s="76" t="s">
        <x:v>141</x:v>
      </x:c>
      <x:c r="F518" s="76">
        <x:v>1</x:v>
      </x:c>
      <x:c r="G518" s="71"/>
    </x:row>
    <x:row r="519">
      <x:c r="A519" s="74">
        <x:v>46156</x:v>
      </x:c>
      <x:c r="B519" s="76" t="s">
        <x:v>27</x:v>
      </x:c>
      <x:c r="C519" s="76" t="str">
        <x:f>IFERROR(VLOOKUP(B519,EPP!$B$7:$D$64,2,FALSE),"")</x:f>
        <x:v>GAFAS LENTE OSCURO</x:v>
      </x:c>
      <x:c r="D519" s="76" t="str">
        <x:f>IFERROR(VLOOKUP(B519,EPP!$B$7:$D$64,3,FALSE),"")</x:f>
        <x:v>Unidad </x:v>
      </x:c>
      <x:c r="E519" s="76" t="s">
        <x:v>141</x:v>
      </x:c>
      <x:c r="F519" s="76">
        <x:v>1</x:v>
      </x:c>
      <x:c r="G519" s="71"/>
    </x:row>
    <x:row r="520">
      <x:c r="A520" s="74">
        <x:v>46156</x:v>
      </x:c>
      <x:c r="B520" s="76" t="s">
        <x:v>29</x:v>
      </x:c>
      <x:c r="C520" s="76" t="str">
        <x:f>IFERROR(VLOOKUP(B520,EPP!$B$7:$D$64,2,FALSE),"")</x:f>
        <x:v>GAFAS LENTE CLARO</x:v>
      </x:c>
      <x:c r="D520" s="76" t="str">
        <x:f>IFERROR(VLOOKUP(B520,EPP!$B$7:$D$64,3,FALSE),"")</x:f>
        <x:v>Unidad </x:v>
      </x:c>
      <x:c r="E520" s="76" t="s">
        <x:v>141</x:v>
      </x:c>
      <x:c r="F520" s="76">
        <x:v>1</x:v>
      </x:c>
      <x:c r="G520" s="71"/>
    </x:row>
    <x:row r="521">
      <x:c r="A521" s="17">
        <x:v>46156</x:v>
      </x:c>
      <x:c r="B521" s="16" t="s">
        <x:v>128</x:v>
      </x:c>
      <x:c r="C521" s="77" t="str">
        <x:f>IFERROR(VLOOKUP(B521,EPP!$B$7:$D$64,2,FALSE),"")</x:f>
        <x:v>IMPERMEABLE L</x:v>
      </x:c>
      <x:c r="D521" s="77" t="str">
        <x:f>IFERROR(VLOOKUP(B521,EPP!$B$7:$D$64,3,FALSE),"")</x:f>
        <x:v>Unidad </x:v>
      </x:c>
      <x:c r="E521" s="16" t="s">
        <x:v>141</x:v>
      </x:c>
      <x:c r="F521" s="77">
        <x:v>1</x:v>
      </x:c>
      <x:c r="G521" s="71"/>
    </x:row>
    <x:row r="522">
      <x:c r="A522" s="74">
        <x:v>46157</x:v>
      </x:c>
      <x:c r="B522" s="76" t="s">
        <x:v>74</x:v>
      </x:c>
      <x:c r="C522" s="76" t="str">
        <x:f>IFERROR(VLOOKUP(B522,EPP!$B$7:$D$64,2,FALSE),"")</x:f>
        <x:v>GUANTE ANTICORTE T9</x:v>
      </x:c>
      <x:c r="D522" s="76" t="str">
        <x:f>IFERROR(VLOOKUP(B522,EPP!$B$7:$D$64,3,FALSE),"")</x:f>
        <x:v>Par</x:v>
      </x:c>
      <x:c r="E522" s="76" t="s">
        <x:v>149</x:v>
      </x:c>
      <x:c r="F522" s="76">
        <x:v>1</x:v>
      </x:c>
      <x:c r="G522" s="71"/>
    </x:row>
    <x:row r="523">
      <x:c r="A523" s="74">
        <x:v>46157</x:v>
      </x:c>
      <x:c r="B523" s="76" t="s">
        <x:v>52</x:v>
      </x:c>
      <x:c r="C523" s="76" t="str">
        <x:f>IFERROR(VLOOKUP(B523,EPP!$B$7:$D$64,2,FALSE),"")</x:f>
        <x:v>GUANTES DE NITRILO TL</x:v>
      </x:c>
      <x:c r="D523" s="76" t="str">
        <x:f>IFERROR(VLOOKUP(B523,EPP!$B$7:$D$64,3,FALSE),"")</x:f>
        <x:v>Par</x:v>
      </x:c>
      <x:c r="E523" s="76" t="s">
        <x:v>148</x:v>
      </x:c>
      <x:c r="F523" s="76">
        <x:v>1</x:v>
      </x:c>
      <x:c r="G523" s="71"/>
    </x:row>
    <x:row r="524">
      <x:c r="A524" s="74">
        <x:v>46157</x:v>
      </x:c>
      <x:c r="B524" s="76" t="s">
        <x:v>52</x:v>
      </x:c>
      <x:c r="C524" s="76" t="str">
        <x:f>IFERROR(VLOOKUP(B524,EPP!$B$7:$D$64,2,FALSE),"")</x:f>
        <x:v>GUANTES DE NITRILO TL</x:v>
      </x:c>
      <x:c r="D524" s="76" t="str">
        <x:f>IFERROR(VLOOKUP(B524,EPP!$B$7:$D$64,3,FALSE),"")</x:f>
        <x:v>Par</x:v>
      </x:c>
      <x:c r="E524" s="76" t="s">
        <x:v>188</x:v>
      </x:c>
      <x:c r="F524" s="76">
        <x:v>1</x:v>
      </x:c>
      <x:c r="G524" s="71"/>
    </x:row>
    <x:row r="525">
      <x:c r="A525" s="74">
        <x:v>46157</x:v>
      </x:c>
      <x:c r="B525" s="76" t="s">
        <x:v>18</x:v>
      </x:c>
      <x:c r="C525" s="76" t="str">
        <x:f>IFERROR(VLOOKUP(B525,EPP!$B$7:$D$64,2,FALSE),"")</x:f>
        <x:v>COFIA</x:v>
      </x:c>
      <x:c r="D525" s="76" t="str">
        <x:f>IFERROR(VLOOKUP(B525,EPP!$B$7:$D$64,3,FALSE),"")</x:f>
        <x:v>Unidad </x:v>
      </x:c>
      <x:c r="E525" s="76" t="s">
        <x:v>188</x:v>
      </x:c>
      <x:c r="F525" s="76">
        <x:v>2</x:v>
      </x:c>
      <x:c r="G525" s="71"/>
    </x:row>
    <x:row r="526">
      <x:c r="A526" s="82">
        <x:v>46161</x:v>
      </x:c>
      <x:c r="B526" s="77" t="s">
        <x:v>86</x:v>
      </x:c>
      <x:c r="C526" s="77" t="str">
        <x:f>IFERROR(VLOOKUP(B526,EPP!$B$7:$D$64,2,FALSE),"")</x:f>
        <x:v>GUANTE KIM- NITRILO ARENADO T10</x:v>
      </x:c>
      <x:c r="D526" s="77" t="str">
        <x:f>IFERROR(VLOOKUP(B526,EPP!$B$7:$D$64,3,FALSE),"")</x:f>
        <x:v>Par</x:v>
      </x:c>
      <x:c r="E526" s="77" t="s">
        <x:v>186</x:v>
      </x:c>
      <x:c r="F526" s="77">
        <x:v>1</x:v>
      </x:c>
      <x:c r="G526" s="71"/>
    </x:row>
    <x:row r="527">
      <x:c r="A527" s="74">
        <x:v>46162</x:v>
      </x:c>
      <x:c r="B527" s="76" t="s">
        <x:v>54</x:v>
      </x:c>
      <x:c r="C527" s="76" t="str">
        <x:f>IFERROR(VLOOKUP(B527,EPP!$B$7:$D$64,2,FALSE),"")</x:f>
        <x:v>GUANTE LARGO USO VETERINARIO</x:v>
      </x:c>
      <x:c r="D527" s="76" t="str">
        <x:f>IFERROR(VLOOKUP(B527,EPP!$B$7:$D$64,3,FALSE),"")</x:f>
        <x:v>Par</x:v>
      </x:c>
      <x:c r="E527" s="76" t="s">
        <x:v>150</x:v>
      </x:c>
      <x:c r="F527" s="76">
        <x:v>1</x:v>
      </x:c>
      <x:c r="G527" s="71"/>
    </x:row>
    <x:row r="528">
      <x:c r="A528" s="74">
        <x:v>46162</x:v>
      </x:c>
      <x:c r="B528" s="76" t="s">
        <x:v>54</x:v>
      </x:c>
      <x:c r="C528" s="76" t="str">
        <x:f>IFERROR(VLOOKUP(B528,EPP!$B$7:$D$64,2,FALSE),"")</x:f>
        <x:v>GUANTE LARGO USO VETERINARIO</x:v>
      </x:c>
      <x:c r="D528" s="76" t="str">
        <x:f>IFERROR(VLOOKUP(B528,EPP!$B$7:$D$64,3,FALSE),"")</x:f>
        <x:v>Par</x:v>
      </x:c>
      <x:c r="E528" s="76" t="s">
        <x:v>169</x:v>
      </x:c>
      <x:c r="F528" s="76">
        <x:v>1</x:v>
      </x:c>
      <x:c r="G528" s="71"/>
    </x:row>
    <x:row r="529">
      <x:c r="A529" s="82">
        <x:v>46162</x:v>
      </x:c>
      <x:c r="B529" s="77" t="s">
        <x:v>58</x:v>
      </x:c>
      <x:c r="C529" s="77" t="str">
        <x:f>IFERROR(VLOOKUP(B529,EPP!$B$7:$D$64,2,FALSE),"")</x:f>
        <x:v>GUANTE INDUSTRIAL NITRILO CORTO T8</x:v>
      </x:c>
      <x:c r="D529" s="77" t="str">
        <x:f>IFERROR(VLOOKUP(B529,EPP!$B$7:$D$64,3,FALSE),"")</x:f>
        <x:v>Par</x:v>
      </x:c>
      <x:c r="E529" s="77" t="s">
        <x:v>150</x:v>
      </x:c>
      <x:c r="F529" s="77">
        <x:v>1</x:v>
      </x:c>
      <x:c r="G529" s="71"/>
    </x:row>
    <x:row r="530">
      <x:c r="A530" s="82">
        <x:v>46163</x:v>
      </x:c>
      <x:c r="B530" s="77" t="s">
        <x:v>29</x:v>
      </x:c>
      <x:c r="C530" s="77" t="str">
        <x:f>IFERROR(VLOOKUP(B530,EPP!$B$7:$D$64,2,FALSE),"")</x:f>
        <x:v>GAFAS LENTE CLARO</x:v>
      </x:c>
      <x:c r="D530" s="77" t="str">
        <x:f>IFERROR(VLOOKUP(B530,EPP!$B$7:$D$64,3,FALSE),"")</x:f>
        <x:v>Unidad </x:v>
      </x:c>
      <x:c r="E530" s="77" t="s">
        <x:v>145</x:v>
      </x:c>
      <x:c r="F530" s="77">
        <x:v>1</x:v>
      </x:c>
      <x:c r="G530" s="71"/>
    </x:row>
    <x:row r="531">
      <x:c r="A531" s="82">
        <x:v>46163</x:v>
      </x:c>
      <x:c r="B531" s="77" t="s">
        <x:v>29</x:v>
      </x:c>
      <x:c r="C531" s="77" t="str">
        <x:f>IFERROR(VLOOKUP(B531,EPP!$B$7:$D$64,2,FALSE),"")</x:f>
        <x:v>GAFAS LENTE CLARO</x:v>
      </x:c>
      <x:c r="D531" s="77" t="str">
        <x:f>IFERROR(VLOOKUP(B531,EPP!$B$7:$D$64,3,FALSE),"")</x:f>
        <x:v>Unidad </x:v>
      </x:c>
      <x:c r="E531" s="77" t="s">
        <x:v>147</x:v>
      </x:c>
      <x:c r="F531" s="77">
        <x:v>1</x:v>
      </x:c>
      <x:c r="G531" s="71"/>
    </x:row>
    <x:row r="532">
      <x:c r="A532" s="82">
        <x:v>46163</x:v>
      </x:c>
      <x:c r="B532" s="77" t="s">
        <x:v>54</x:v>
      </x:c>
      <x:c r="C532" s="77" t="str">
        <x:f>IFERROR(VLOOKUP(B532,EPP!$B$7:$D$64,2,FALSE),"")</x:f>
        <x:v>GUANTE LARGO USO VETERINARIO</x:v>
      </x:c>
      <x:c r="D532" s="77" t="str">
        <x:f>IFERROR(VLOOKUP(B532,EPP!$B$7:$D$64,3,FALSE),"")</x:f>
        <x:v>Par</x:v>
      </x:c>
      <x:c r="E532" s="77" t="s">
        <x:v>158</x:v>
      </x:c>
      <x:c r="F532" s="77">
        <x:v>1</x:v>
      </x:c>
      <x:c r="G532" s="71"/>
    </x:row>
    <x:row r="533">
      <x:c r="A533" s="82">
        <x:v>46163</x:v>
      </x:c>
      <x:c r="B533" s="77" t="s">
        <x:v>54</x:v>
      </x:c>
      <x:c r="C533" s="77" t="str">
        <x:f>IFERROR(VLOOKUP(B533,EPP!$B$7:$D$64,2,FALSE),"")</x:f>
        <x:v>GUANTE LARGO USO VETERINARIO</x:v>
      </x:c>
      <x:c r="D533" s="77" t="str">
        <x:f>IFERROR(VLOOKUP(B533,EPP!$B$7:$D$64,3,FALSE),"")</x:f>
        <x:v>Par</x:v>
      </x:c>
      <x:c r="E533" s="77" t="s">
        <x:v>150</x:v>
      </x:c>
      <x:c r="F533" s="77">
        <x:v>1</x:v>
      </x:c>
      <x:c r="G533" s="71"/>
    </x:row>
    <x:row r="534">
      <x:c r="A534" s="82">
        <x:v>46163</x:v>
      </x:c>
      <x:c r="B534" s="77" t="s">
        <x:v>54</x:v>
      </x:c>
      <x:c r="C534" s="77" t="str">
        <x:f>IFERROR(VLOOKUP(B534,EPP!$B$7:$D$64,2,FALSE),"")</x:f>
        <x:v>GUANTE LARGO USO VETERINARIO</x:v>
      </x:c>
      <x:c r="D534" s="77" t="str">
        <x:f>IFERROR(VLOOKUP(B534,EPP!$B$7:$D$64,3,FALSE),"")</x:f>
        <x:v>Par</x:v>
      </x:c>
      <x:c r="E534" s="77" t="s">
        <x:v>169</x:v>
      </x:c>
      <x:c r="F534" s="77">
        <x:v>1</x:v>
      </x:c>
      <x:c r="G534" s="71"/>
    </x:row>
    <x:row r="535">
      <x:c r="A535" s="82">
        <x:v>46164</x:v>
      </x:c>
      <x:c r="B535" s="77" t="s">
        <x:v>52</x:v>
      </x:c>
      <x:c r="C535" s="77" t="str">
        <x:f>IFERROR(VLOOKUP(B535,EPP!$B$7:$D$64,2,FALSE),"")</x:f>
        <x:v>GUANTES DE NITRILO TL</x:v>
      </x:c>
      <x:c r="D535" s="77" t="str">
        <x:f>IFERROR(VLOOKUP(B535,EPP!$B$7:$D$64,3,FALSE),"")</x:f>
        <x:v>Par</x:v>
      </x:c>
      <x:c r="E535" s="77" t="s">
        <x:v>148</x:v>
      </x:c>
      <x:c r="F535" s="77">
        <x:v>1</x:v>
      </x:c>
      <x:c r="G535" s="71"/>
    </x:row>
    <x:row r="536">
      <x:c r="A536" s="82">
        <x:v>46164</x:v>
      </x:c>
      <x:c r="B536" s="77" t="s">
        <x:v>50</x:v>
      </x:c>
      <x:c r="C536" s="77" t="str">
        <x:f>IFERROR(VLOOKUP(B536,EPP!$B$7:$D$64,2,FALSE),"")</x:f>
        <x:v>TAPABOCAS INDUSTRIAL NEGRO</x:v>
      </x:c>
      <x:c r="D536" s="77" t="str">
        <x:f>IFERROR(VLOOKUP(B536,EPP!$B$7:$D$64,3,FALSE),"")</x:f>
        <x:v>Unidad </x:v>
      </x:c>
      <x:c r="E536" s="77" t="s">
        <x:v>158</x:v>
      </x:c>
      <x:c r="F536" s="77">
        <x:v>1</x:v>
      </x:c>
      <x:c r="G536" s="71"/>
    </x:row>
    <x:row r="537">
      <x:c r="A537" s="82">
        <x:v>46164</x:v>
      </x:c>
      <x:c r="B537" s="77" t="s">
        <x:v>52</x:v>
      </x:c>
      <x:c r="C537" s="77" t="str">
        <x:f>IFERROR(VLOOKUP(B537,EPP!$B$7:$D$64,2,FALSE),"")</x:f>
        <x:v>GUANTES DE NITRILO TL</x:v>
      </x:c>
      <x:c r="D537" s="77" t="str">
        <x:f>IFERROR(VLOOKUP(B537,EPP!$B$7:$D$64,3,FALSE),"")</x:f>
        <x:v>Par</x:v>
      </x:c>
      <x:c r="E537" s="76" t="s">
        <x:v>185</x:v>
      </x:c>
      <x:c r="F537" s="77">
        <x:v>1</x:v>
      </x:c>
      <x:c r="G537" s="71"/>
    </x:row>
    <x:row r="538">
      <x:c r="A538" s="82">
        <x:v>46164</x:v>
      </x:c>
      <x:c r="B538" s="77" t="s">
        <x:v>52</x:v>
      </x:c>
      <x:c r="C538" s="77" t="str">
        <x:f>IFERROR(VLOOKUP(B538,EPP!$B$7:$D$64,2,FALSE),"")</x:f>
        <x:v>GUANTES DE NITRILO TL</x:v>
      </x:c>
      <x:c r="D538" s="77" t="str">
        <x:f>IFERROR(VLOOKUP(B538,EPP!$B$7:$D$64,3,FALSE),"")</x:f>
        <x:v>Par</x:v>
      </x:c>
      <x:c r="E538" s="76" t="s">
        <x:v>188</x:v>
      </x:c>
      <x:c r="F538" s="77">
        <x:v>1</x:v>
      </x:c>
      <x:c r="G538" s="71"/>
    </x:row>
    <x:row r="539">
      <x:c r="A539" s="82">
        <x:v>46164</x:v>
      </x:c>
      <x:c r="B539" s="77" t="s">
        <x:v>50</x:v>
      </x:c>
      <x:c r="C539" s="77" t="str">
        <x:f>IFERROR(VLOOKUP(B539,EPP!$B$7:$D$64,2,FALSE),"")</x:f>
        <x:v>TAPABOCAS INDUSTRIAL NEGRO</x:v>
      </x:c>
      <x:c r="D539" s="77" t="str">
        <x:f>IFERROR(VLOOKUP(B539,EPP!$B$7:$D$64,3,FALSE),"")</x:f>
        <x:v>Unidad </x:v>
      </x:c>
      <x:c r="E539" s="77" t="s">
        <x:v>150</x:v>
      </x:c>
      <x:c r="F539" s="77">
        <x:v>1</x:v>
      </x:c>
      <x:c r="G539" s="71"/>
    </x:row>
    <x:row r="540">
      <x:c r="A540" s="82">
        <x:v>46164</x:v>
      </x:c>
      <x:c r="B540" s="77" t="s">
        <x:v>50</x:v>
      </x:c>
      <x:c r="C540" s="77" t="str">
        <x:f>IFERROR(VLOOKUP(B540,EPP!$B$7:$D$64,2,FALSE),"")</x:f>
        <x:v>TAPABOCAS INDUSTRIAL NEGRO</x:v>
      </x:c>
      <x:c r="D540" s="77" t="str">
        <x:f>IFERROR(VLOOKUP(B540,EPP!$B$7:$D$64,3,FALSE),"")</x:f>
        <x:v>Unidad </x:v>
      </x:c>
      <x:c r="E540" s="77" t="s">
        <x:v>169</x:v>
      </x:c>
      <x:c r="F540" s="77">
        <x:v>1</x:v>
      </x:c>
      <x:c r="G540" s="71"/>
    </x:row>
    <x:row r="541">
      <x:c r="A541" s="82">
        <x:v>46164</x:v>
      </x:c>
      <x:c r="B541" s="77" t="s">
        <x:v>54</x:v>
      </x:c>
      <x:c r="C541" s="77" t="str">
        <x:f>IFERROR(VLOOKUP(B541,EPP!$B$7:$D$64,2,FALSE),"")</x:f>
        <x:v>GUANTE LARGO USO VETERINARIO</x:v>
      </x:c>
      <x:c r="D541" s="77" t="str">
        <x:f>IFERROR(VLOOKUP(B541,EPP!$B$7:$D$64,3,FALSE),"")</x:f>
        <x:v>Par</x:v>
      </x:c>
      <x:c r="E541" s="77" t="s">
        <x:v>169</x:v>
      </x:c>
      <x:c r="F541" s="77">
        <x:v>1</x:v>
      </x:c>
      <x:c r="G541" s="71"/>
    </x:row>
    <x:row r="542">
      <x:c r="A542" s="82">
        <x:v>46164</x:v>
      </x:c>
      <x:c r="B542" s="77" t="s">
        <x:v>54</x:v>
      </x:c>
      <x:c r="C542" s="77" t="str">
        <x:f>IFERROR(VLOOKUP(B542,EPP!$B$7:$D$64,2,FALSE),"")</x:f>
        <x:v>GUANTE LARGO USO VETERINARIO</x:v>
      </x:c>
      <x:c r="D542" s="77" t="str">
        <x:f>IFERROR(VLOOKUP(B542,EPP!$B$7:$D$64,3,FALSE),"")</x:f>
        <x:v>Par</x:v>
      </x:c>
      <x:c r="E542" s="77" t="s">
        <x:v>158</x:v>
      </x:c>
      <x:c r="F542" s="77">
        <x:v>1</x:v>
      </x:c>
      <x:c r="G542" s="71"/>
    </x:row>
    <x:row r="543">
      <x:c r="A543" s="82">
        <x:v>46164</x:v>
      </x:c>
      <x:c r="B543" s="77" t="s">
        <x:v>54</x:v>
      </x:c>
      <x:c r="C543" s="77" t="str">
        <x:f>IFERROR(VLOOKUP(B543,EPP!$B$7:$D$64,2,FALSE),"")</x:f>
        <x:v>GUANTE LARGO USO VETERINARIO</x:v>
      </x:c>
      <x:c r="D543" s="77" t="str">
        <x:f>IFERROR(VLOOKUP(B543,EPP!$B$7:$D$64,3,FALSE),"")</x:f>
        <x:v>Par</x:v>
      </x:c>
      <x:c r="E543" s="77" t="s">
        <x:v>150</x:v>
      </x:c>
      <x:c r="F543" s="77">
        <x:v>1</x:v>
      </x:c>
      <x:c r="G543" s="71"/>
    </x:row>
    <x:row r="544">
      <x:c r="A544" s="82">
        <x:v>46164</x:v>
      </x:c>
      <x:c r="B544" s="77" t="s">
        <x:v>54</x:v>
      </x:c>
      <x:c r="C544" s="77" t="str">
        <x:f>IFERROR(VLOOKUP(B544,EPP!$B$7:$D$64,2,FALSE),"")</x:f>
        <x:v>GUANTE LARGO USO VETERINARIO</x:v>
      </x:c>
      <x:c r="D544" s="77" t="str">
        <x:f>IFERROR(VLOOKUP(B544,EPP!$B$7:$D$64,3,FALSE),"")</x:f>
        <x:v>Par</x:v>
      </x:c>
      <x:c r="E544" s="77" t="s">
        <x:v>151</x:v>
      </x:c>
      <x:c r="F544" s="77">
        <x:v>1</x:v>
      </x:c>
      <x:c r="G544" s="71"/>
    </x:row>
    <x:row r="545">
      <x:c r="A545" s="82">
        <x:v>46164</x:v>
      </x:c>
      <x:c r="B545" s="77" t="s">
        <x:v>50</x:v>
      </x:c>
      <x:c r="C545" s="77" t="str">
        <x:f>IFERROR(VLOOKUP(B545,EPP!$B$7:$D$64,2,FALSE),"")</x:f>
        <x:v>TAPABOCAS INDUSTRIAL NEGRO</x:v>
      </x:c>
      <x:c r="D545" s="77" t="str">
        <x:f>IFERROR(VLOOKUP(B545,EPP!$B$7:$D$64,3,FALSE),"")</x:f>
        <x:v>Unidad </x:v>
      </x:c>
      <x:c r="E545" s="77" t="s">
        <x:v>145</x:v>
      </x:c>
      <x:c r="F545" s="77">
        <x:v>1</x:v>
      </x:c>
      <x:c r="G545" s="71"/>
    </x:row>
    <x:row r="546">
      <x:c r="A546" s="82">
        <x:v>46165</x:v>
      </x:c>
      <x:c r="B546" s="77" t="s">
        <x:v>52</x:v>
      </x:c>
      <x:c r="C546" s="77" t="str">
        <x:f>IFERROR(VLOOKUP(B546,EPP!$B$7:$D$64,2,FALSE),"")</x:f>
        <x:v>GUANTES DE NITRILO TL</x:v>
      </x:c>
      <x:c r="D546" s="77" t="str">
        <x:f>IFERROR(VLOOKUP(B546,EPP!$B$7:$D$64,3,FALSE),"")</x:f>
        <x:v>Par</x:v>
      </x:c>
      <x:c r="E546" s="77" t="s">
        <x:v>148</x:v>
      </x:c>
      <x:c r="F546" s="77">
        <x:v>1</x:v>
      </x:c>
      <x:c r="G546" s="71"/>
    </x:row>
    <x:row r="547">
      <x:c r="A547" s="82">
        <x:v>46165</x:v>
      </x:c>
      <x:c r="B547" s="77" t="s">
        <x:v>50</x:v>
      </x:c>
      <x:c r="C547" s="77" t="str">
        <x:f>IFERROR(VLOOKUP(B547,EPP!$B$7:$D$64,2,FALSE),"")</x:f>
        <x:v>TAPABOCAS INDUSTRIAL NEGRO</x:v>
      </x:c>
      <x:c r="D547" s="77" t="str">
        <x:f>IFERROR(VLOOKUP(B547,EPP!$B$7:$D$64,3,FALSE),"")</x:f>
        <x:v>Unidad </x:v>
      </x:c>
      <x:c r="E547" s="77" t="s">
        <x:v>166</x:v>
      </x:c>
      <x:c r="F547" s="77">
        <x:v>1</x:v>
      </x:c>
      <x:c r="G547" s="71"/>
    </x:row>
    <x:row r="548">
      <x:c r="A548" s="82">
        <x:v>46165</x:v>
      </x:c>
      <x:c r="B548" s="77" t="s">
        <x:v>52</x:v>
      </x:c>
      <x:c r="C548" s="77" t="str">
        <x:f>IFERROR(VLOOKUP(B548,EPP!$B$7:$D$64,2,FALSE),"")</x:f>
        <x:v>GUANTES DE NITRILO TL</x:v>
      </x:c>
      <x:c r="D548" s="77" t="str">
        <x:f>IFERROR(VLOOKUP(B548,EPP!$B$7:$D$64,3,FALSE),"")</x:f>
        <x:v>Par</x:v>
      </x:c>
      <x:c r="E548" s="76" t="s">
        <x:v>185</x:v>
      </x:c>
      <x:c r="F548" s="77">
        <x:v>1</x:v>
      </x:c>
      <x:c r="G548" s="71"/>
    </x:row>
    <x:row r="549">
      <x:c r="A549" s="82">
        <x:v>46165</x:v>
      </x:c>
      <x:c r="B549" s="77" t="s">
        <x:v>52</x:v>
      </x:c>
      <x:c r="C549" s="77" t="str">
        <x:f>IFERROR(VLOOKUP(B549,EPP!$B$7:$D$64,2,FALSE),"")</x:f>
        <x:v>GUANTES DE NITRILO TL</x:v>
      </x:c>
      <x:c r="D549" s="77" t="str">
        <x:f>IFERROR(VLOOKUP(B549,EPP!$B$7:$D$64,3,FALSE),"")</x:f>
        <x:v>Par</x:v>
      </x:c>
      <x:c r="E549" s="76" t="s">
        <x:v>142</x:v>
      </x:c>
      <x:c r="F549" s="77">
        <x:v>1</x:v>
      </x:c>
      <x:c r="G549" s="71"/>
    </x:row>
    <x:row r="550">
      <x:c r="A550" s="82">
        <x:v>46165</x:v>
      </x:c>
      <x:c r="B550" s="77" t="s">
        <x:v>54</x:v>
      </x:c>
      <x:c r="C550" s="77" t="str">
        <x:f>IFERROR(VLOOKUP(B550,EPP!$B$7:$D$64,2,FALSE),"")</x:f>
        <x:v>GUANTE LARGO USO VETERINARIO</x:v>
      </x:c>
      <x:c r="D550" s="77" t="str">
        <x:f>IFERROR(VLOOKUP(B550,EPP!$B$7:$D$64,3,FALSE),"")</x:f>
        <x:v>Par</x:v>
      </x:c>
      <x:c r="E550" s="77" t="s">
        <x:v>158</x:v>
      </x:c>
      <x:c r="F550" s="77">
        <x:v>1</x:v>
      </x:c>
      <x:c r="G550" s="71"/>
    </x:row>
    <x:row r="551">
      <x:c r="A551" s="82">
        <x:v>46165</x:v>
      </x:c>
      <x:c r="B551" s="77" t="s">
        <x:v>54</x:v>
      </x:c>
      <x:c r="C551" s="77" t="str">
        <x:f>IFERROR(VLOOKUP(B551,EPP!$B$7:$D$64,2,FALSE),"")</x:f>
        <x:v>GUANTE LARGO USO VETERINARIO</x:v>
      </x:c>
      <x:c r="D551" s="77" t="str">
        <x:f>IFERROR(VLOOKUP(B551,EPP!$B$7:$D$64,3,FALSE),"")</x:f>
        <x:v>Par</x:v>
      </x:c>
      <x:c r="E551" s="77" t="s">
        <x:v>166</x:v>
      </x:c>
      <x:c r="F551" s="77">
        <x:v>1</x:v>
      </x:c>
      <x:c r="G551" s="71"/>
    </x:row>
    <x:row r="552">
      <x:c r="A552" s="82">
        <x:v>46165</x:v>
      </x:c>
      <x:c r="B552" s="77" t="s">
        <x:v>54</x:v>
      </x:c>
      <x:c r="C552" s="77" t="str">
        <x:f>IFERROR(VLOOKUP(B552,EPP!$B$7:$D$64,2,FALSE),"")</x:f>
        <x:v>GUANTE LARGO USO VETERINARIO</x:v>
      </x:c>
      <x:c r="D552" s="77" t="str">
        <x:f>IFERROR(VLOOKUP(B552,EPP!$B$7:$D$64,3,FALSE),"")</x:f>
        <x:v>Par</x:v>
      </x:c>
      <x:c r="E552" s="77" t="s">
        <x:v>169</x:v>
      </x:c>
      <x:c r="F552" s="77">
        <x:v>1</x:v>
      </x:c>
      <x:c r="G552" s="71"/>
    </x:row>
    <x:row r="553">
      <x:c r="A553" s="82">
        <x:v>46165</x:v>
      </x:c>
      <x:c r="B553" s="77" t="s">
        <x:v>54</x:v>
      </x:c>
      <x:c r="C553" s="77" t="str">
        <x:f>IFERROR(VLOOKUP(B553,EPP!$B$7:$D$64,2,FALSE),"")</x:f>
        <x:v>GUANTE LARGO USO VETERINARIO</x:v>
      </x:c>
      <x:c r="D553" s="77" t="str">
        <x:f>IFERROR(VLOOKUP(B553,EPP!$B$7:$D$64,3,FALSE),"")</x:f>
        <x:v>Par</x:v>
      </x:c>
      <x:c r="E553" s="77" t="s">
        <x:v>151</x:v>
      </x:c>
      <x:c r="F553" s="77">
        <x:v>1</x:v>
      </x:c>
      <x:c r="G553" s="71"/>
    </x:row>
    <x:row r="554">
      <x:c r="A554" s="82">
        <x:v>46166</x:v>
      </x:c>
      <x:c r="B554" s="77" t="s">
        <x:v>52</x:v>
      </x:c>
      <x:c r="C554" s="77" t="str">
        <x:f>IFERROR(VLOOKUP(B554,EPP!$B$7:$D$64,2,FALSE),"")</x:f>
        <x:v>GUANTES DE NITRILO TL</x:v>
      </x:c>
      <x:c r="D554" s="77" t="str">
        <x:f>IFERROR(VLOOKUP(B554,EPP!$B$7:$D$64,3,FALSE),"")</x:f>
        <x:v>Par</x:v>
      </x:c>
      <x:c r="E554" s="77" t="s">
        <x:v>148</x:v>
      </x:c>
      <x:c r="F554" s="77">
        <x:v>1</x:v>
      </x:c>
      <x:c r="G554" s="71"/>
    </x:row>
    <x:row r="555">
      <x:c r="A555" s="82">
        <x:v>46166</x:v>
      </x:c>
      <x:c r="B555" s="77" t="s">
        <x:v>50</x:v>
      </x:c>
      <x:c r="C555" s="77" t="str">
        <x:f>IFERROR(VLOOKUP(B555,EPP!$B$7:$D$64,2,FALSE),"")</x:f>
        <x:v>TAPABOCAS INDUSTRIAL NEGRO</x:v>
      </x:c>
      <x:c r="D555" s="77" t="str">
        <x:f>IFERROR(VLOOKUP(B555,EPP!$B$7:$D$64,3,FALSE),"")</x:f>
        <x:v>Unidad </x:v>
      </x:c>
      <x:c r="E555" s="77" t="s">
        <x:v>148</x:v>
      </x:c>
      <x:c r="F555" s="77">
        <x:v>1</x:v>
      </x:c>
      <x:c r="G555" s="71"/>
    </x:row>
    <x:row r="556">
      <x:c r="A556" s="82">
        <x:v>46166</x:v>
      </x:c>
      <x:c r="B556" s="77" t="s">
        <x:v>52</x:v>
      </x:c>
      <x:c r="C556" s="77" t="str">
        <x:f>IFERROR(VLOOKUP(B556,EPP!$B$7:$D$64,2,FALSE),"")</x:f>
        <x:v>GUANTES DE NITRILO TL</x:v>
      </x:c>
      <x:c r="D556" s="77" t="str">
        <x:f>IFERROR(VLOOKUP(B556,EPP!$B$7:$D$64,3,FALSE),"")</x:f>
        <x:v>Par</x:v>
      </x:c>
      <x:c r="E556" s="77" t="s">
        <x:v>158</x:v>
      </x:c>
      <x:c r="F556" s="77">
        <x:v>1</x:v>
      </x:c>
      <x:c r="G556" s="71"/>
    </x:row>
    <x:row r="557">
      <x:c r="A557" s="82">
        <x:v>46166</x:v>
      </x:c>
      <x:c r="B557" s="77" t="s">
        <x:v>78</x:v>
      </x:c>
      <x:c r="C557" s="77" t="str">
        <x:f>IFERROR(VLOOKUP(B557,EPP!$B$7:$D$64,2,FALSE),"")</x:f>
        <x:v>GUANTE KIM- NITRILO ARENADO T9</x:v>
      </x:c>
      <x:c r="D557" s="77" t="str">
        <x:f>IFERROR(VLOOKUP(B557,EPP!$B$7:$D$64,3,FALSE),"")</x:f>
        <x:v>Par</x:v>
      </x:c>
      <x:c r="E557" s="77" t="s">
        <x:v>143</x:v>
      </x:c>
      <x:c r="F557" s="77">
        <x:v>1</x:v>
      </x:c>
      <x:c r="G557" s="71"/>
    </x:row>
    <x:row r="558">
      <x:c r="A558" s="82">
        <x:v>46166</x:v>
      </x:c>
      <x:c r="B558" s="77" t="s">
        <x:v>78</x:v>
      </x:c>
      <x:c r="C558" s="77" t="str">
        <x:f>IFERROR(VLOOKUP(B558,EPP!$B$7:$D$64,2,FALSE),"")</x:f>
        <x:v>GUANTE KIM- NITRILO ARENADO T9</x:v>
      </x:c>
      <x:c r="D558" s="77" t="str">
        <x:f>IFERROR(VLOOKUP(B558,EPP!$B$7:$D$64,3,FALSE),"")</x:f>
        <x:v>Par</x:v>
      </x:c>
      <x:c r="E558" s="77" t="s">
        <x:v>145</x:v>
      </x:c>
      <x:c r="F558" s="77">
        <x:v>1</x:v>
      </x:c>
      <x:c r="G558" s="71"/>
    </x:row>
    <x:row r="559">
      <x:c r="A559" s="82">
        <x:v>46166</x:v>
      </x:c>
      <x:c r="B559" s="77" t="s">
        <x:v>52</x:v>
      </x:c>
      <x:c r="C559" s="77" t="str">
        <x:f>IFERROR(VLOOKUP(B559,EPP!$B$7:$D$64,2,FALSE),"")</x:f>
        <x:v>GUANTES DE NITRILO TL</x:v>
      </x:c>
      <x:c r="D559" s="77" t="str">
        <x:f>IFERROR(VLOOKUP(B559,EPP!$B$7:$D$64,3,FALSE),"")</x:f>
        <x:v>Par</x:v>
      </x:c>
      <x:c r="E559" s="76" t="s">
        <x:v>142</x:v>
      </x:c>
      <x:c r="F559" s="77">
        <x:v>1</x:v>
      </x:c>
      <x:c r="G559" s="71"/>
    </x:row>
    <x:row r="560">
      <x:c r="A560" s="82">
        <x:v>46166</x:v>
      </x:c>
      <x:c r="B560" s="77" t="s">
        <x:v>50</x:v>
      </x:c>
      <x:c r="C560" s="77" t="str">
        <x:f>IFERROR(VLOOKUP(B560,EPP!$B$7:$D$64,2,FALSE),"")</x:f>
        <x:v>TAPABOCAS INDUSTRIAL NEGRO</x:v>
      </x:c>
      <x:c r="D560" s="77" t="str">
        <x:f>IFERROR(VLOOKUP(B560,EPP!$B$7:$D$64,3,FALSE),"")</x:f>
        <x:v>Unidad </x:v>
      </x:c>
      <x:c r="E560" s="76" t="s">
        <x:v>142</x:v>
      </x:c>
      <x:c r="F560" s="77">
        <x:v>1</x:v>
      </x:c>
      <x:c r="G560" s="71"/>
    </x:row>
    <x:row r="561">
      <x:c r="A561" s="82">
        <x:v>46166</x:v>
      </x:c>
      <x:c r="B561" s="77" t="s">
        <x:v>50</x:v>
      </x:c>
      <x:c r="C561" s="77" t="str">
        <x:f>IFERROR(VLOOKUP(B561,EPP!$B$7:$D$64,2,FALSE),"")</x:f>
        <x:v>TAPABOCAS INDUSTRIAL NEGRO</x:v>
      </x:c>
      <x:c r="D561" s="77" t="str">
        <x:f>IFERROR(VLOOKUP(B561,EPP!$B$7:$D$64,3,FALSE),"")</x:f>
        <x:v>Unidad </x:v>
      </x:c>
      <x:c r="E561" s="77" t="s">
        <x:v>145</x:v>
      </x:c>
      <x:c r="F561" s="77">
        <x:v>1</x:v>
      </x:c>
      <x:c r="G561" s="71"/>
    </x:row>
    <x:row r="562">
      <x:c r="A562" s="82">
        <x:v>46166</x:v>
      </x:c>
      <x:c r="B562" s="77" t="s">
        <x:v>29</x:v>
      </x:c>
      <x:c r="C562" s="77" t="str">
        <x:f>IFERROR(VLOOKUP(B562,EPP!$B$7:$D$64,2,FALSE),"")</x:f>
        <x:v>GAFAS LENTE CLARO</x:v>
      </x:c>
      <x:c r="D562" s="77" t="str">
        <x:f>IFERROR(VLOOKUP(B562,EPP!$B$7:$D$64,3,FALSE),"")</x:f>
        <x:v>Unidad </x:v>
      </x:c>
      <x:c r="E562" s="77" t="s">
        <x:v>143</x:v>
      </x:c>
      <x:c r="F562" s="77">
        <x:v>1</x:v>
      </x:c>
      <x:c r="G562" s="71"/>
    </x:row>
    <x:row r="563">
      <x:c r="A563" s="82">
        <x:v>46167</x:v>
      </x:c>
      <x:c r="B563" s="77" t="s">
        <x:v>114</x:v>
      </x:c>
      <x:c r="C563" s="77" t="str">
        <x:f>IFERROR(VLOOKUP(B563,EPP!$B$7:$D$64,2,FALSE),"")</x:f>
        <x:v>OVEROL DESCARTABLE TM</x:v>
      </x:c>
      <x:c r="D563" s="77" t="str">
        <x:f>IFERROR(VLOOKUP(B563,EPP!$B$7:$D$64,3,FALSE),"")</x:f>
        <x:v>Unidad </x:v>
      </x:c>
      <x:c r="E563" s="77" t="s">
        <x:v>158</x:v>
      </x:c>
      <x:c r="F563" s="77">
        <x:v>1</x:v>
      </x:c>
      <x:c r="G563" s="71"/>
    </x:row>
    <x:row r="564">
      <x:c r="A564" s="82">
        <x:v>46167</x:v>
      </x:c>
      <x:c r="B564" s="77" t="s">
        <x:v>52</x:v>
      </x:c>
      <x:c r="C564" s="77" t="str">
        <x:f>IFERROR(VLOOKUP(B564,EPP!$B$7:$D$64,2,FALSE),"")</x:f>
        <x:v>GUANTES DE NITRILO TL</x:v>
      </x:c>
      <x:c r="D564" s="77" t="str">
        <x:f>IFERROR(VLOOKUP(B564,EPP!$B$7:$D$64,3,FALSE),"")</x:f>
        <x:v>Par</x:v>
      </x:c>
      <x:c r="E564" s="77" t="s">
        <x:v>153</x:v>
      </x:c>
      <x:c r="F564" s="77">
        <x:v>1</x:v>
      </x:c>
      <x:c r="G564" s="71"/>
    </x:row>
    <x:row r="565">
      <x:c r="A565" s="82">
        <x:v>46167</x:v>
      </x:c>
      <x:c r="B565" s="77" t="s">
        <x:v>48</x:v>
      </x:c>
      <x:c r="C565" s="77" t="str">
        <x:f>IFERROR(VLOOKUP(B565,EPP!$B$7:$D$64,2,FALSE),"")</x:f>
        <x:v>TAPABOCAS DESECHABLE</x:v>
      </x:c>
      <x:c r="D565" s="77" t="str">
        <x:f>IFERROR(VLOOKUP(B565,EPP!$B$7:$D$64,3,FALSE),"")</x:f>
        <x:v>Unidad </x:v>
      </x:c>
      <x:c r="E565" s="77" t="s">
        <x:v>153</x:v>
      </x:c>
      <x:c r="F565" s="77">
        <x:v>1</x:v>
      </x:c>
      <x:c r="G565" s="71"/>
    </x:row>
    <x:row r="566">
      <x:c r="A566" s="82">
        <x:v>46167</x:v>
      </x:c>
      <x:c r="B566" s="77" t="s">
        <x:v>48</x:v>
      </x:c>
      <x:c r="C566" s="77" t="str">
        <x:f>IFERROR(VLOOKUP(B566,EPP!$B$7:$D$64,2,FALSE),"")</x:f>
        <x:v>TAPABOCAS DESECHABLE</x:v>
      </x:c>
      <x:c r="D566" s="77" t="str">
        <x:f>IFERROR(VLOOKUP(B566,EPP!$B$7:$D$64,3,FALSE),"")</x:f>
        <x:v>Unidad </x:v>
      </x:c>
      <x:c r="E566" s="77" t="s">
        <x:v>148</x:v>
      </x:c>
      <x:c r="F566" s="77">
        <x:v>1</x:v>
      </x:c>
      <x:c r="G566" s="71"/>
    </x:row>
    <x:row r="567">
      <x:c r="A567" s="82">
        <x:v>46167</x:v>
      </x:c>
      <x:c r="B567" s="77" t="s">
        <x:v>116</x:v>
      </x:c>
      <x:c r="C567" s="77" t="str">
        <x:f>IFERROR(VLOOKUP(B567,EPP!$B$7:$D$64,2,FALSE),"")</x:f>
        <x:v>OVEROL DESCARTABLE TL</x:v>
      </x:c>
      <x:c r="D567" s="77" t="str">
        <x:f>IFERROR(VLOOKUP(B567,EPP!$B$7:$D$64,3,FALSE),"")</x:f>
        <x:v>Unidad </x:v>
      </x:c>
      <x:c r="E567" s="77" t="s">
        <x:v>154</x:v>
      </x:c>
      <x:c r="F567" s="77">
        <x:v>1</x:v>
      </x:c>
      <x:c r="G567" s="71"/>
    </x:row>
    <x:row r="568">
      <x:c r="A568" s="82">
        <x:v>46167</x:v>
      </x:c>
      <x:c r="B568" s="77" t="s">
        <x:v>52</x:v>
      </x:c>
      <x:c r="C568" s="77" t="str">
        <x:f>IFERROR(VLOOKUP(B568,EPP!$B$7:$D$64,2,FALSE),"")</x:f>
        <x:v>GUANTES DE NITRILO TL</x:v>
      </x:c>
      <x:c r="D568" s="77" t="str">
        <x:f>IFERROR(VLOOKUP(B568,EPP!$B$7:$D$64,3,FALSE),"")</x:f>
        <x:v>Par</x:v>
      </x:c>
      <x:c r="E568" s="76" t="s">
        <x:v>142</x:v>
      </x:c>
      <x:c r="F568" s="77">
        <x:v>1</x:v>
      </x:c>
      <x:c r="G568" s="71"/>
    </x:row>
    <x:row r="569">
      <x:c r="A569" s="82">
        <x:v>46167</x:v>
      </x:c>
      <x:c r="B569" s="77" t="s">
        <x:v>50</x:v>
      </x:c>
      <x:c r="C569" s="77" t="str">
        <x:f>IFERROR(VLOOKUP(B569,EPP!$B$7:$D$64,2,FALSE),"")</x:f>
        <x:v>TAPABOCAS INDUSTRIAL NEGRO</x:v>
      </x:c>
      <x:c r="D569" s="77" t="str">
        <x:f>IFERROR(VLOOKUP(B569,EPP!$B$7:$D$64,3,FALSE),"")</x:f>
        <x:v>Unidad </x:v>
      </x:c>
      <x:c r="E569" s="77" t="s">
        <x:v>166</x:v>
      </x:c>
      <x:c r="F569" s="77">
        <x:v>1</x:v>
      </x:c>
      <x:c r="G569" s="71"/>
    </x:row>
    <x:row r="570">
      <x:c r="A570" s="82">
        <x:v>46167</x:v>
      </x:c>
      <x:c r="B570" s="77" t="s">
        <x:v>50</x:v>
      </x:c>
      <x:c r="C570" s="77" t="str">
        <x:f>IFERROR(VLOOKUP(B570,EPP!$B$7:$D$64,2,FALSE),"")</x:f>
        <x:v>TAPABOCAS INDUSTRIAL NEGRO</x:v>
      </x:c>
      <x:c r="D570" s="77" t="str">
        <x:f>IFERROR(VLOOKUP(B570,EPP!$B$7:$D$64,3,FALSE),"")</x:f>
        <x:v>Unidad </x:v>
      </x:c>
      <x:c r="E570" s="77" t="s">
        <x:v>158</x:v>
      </x:c>
      <x:c r="F570" s="77">
        <x:v>1</x:v>
      </x:c>
      <x:c r="G570" s="71"/>
    </x:row>
    <x:row r="571">
      <x:c r="A571" s="82">
        <x:v>46167</x:v>
      </x:c>
      <x:c r="B571" s="77" t="s">
        <x:v>50</x:v>
      </x:c>
      <x:c r="C571" s="77" t="str">
        <x:f>IFERROR(VLOOKUP(B571,EPP!$B$7:$D$64,2,FALSE),"")</x:f>
        <x:v>TAPABOCAS INDUSTRIAL NEGRO</x:v>
      </x:c>
      <x:c r="D571" s="77" t="str">
        <x:f>IFERROR(VLOOKUP(B571,EPP!$B$7:$D$64,3,FALSE),"")</x:f>
        <x:v>Unidad </x:v>
      </x:c>
      <x:c r="E571" s="77" t="s">
        <x:v>154</x:v>
      </x:c>
      <x:c r="F571" s="77">
        <x:v>1</x:v>
      </x:c>
      <x:c r="G571" s="71"/>
    </x:row>
    <x:row r="572">
      <x:c r="A572" s="82">
        <x:v>46167</x:v>
      </x:c>
      <x:c r="B572" s="77" t="s">
        <x:v>78</x:v>
      </x:c>
      <x:c r="C572" s="77" t="str">
        <x:f>IFERROR(VLOOKUP(B572,EPP!$B$7:$D$64,2,FALSE),"")</x:f>
        <x:v>GUANTE KIM- NITRILO ARENADO T9</x:v>
      </x:c>
      <x:c r="D572" s="77" t="str">
        <x:f>IFERROR(VLOOKUP(B572,EPP!$B$7:$D$64,3,FALSE),"")</x:f>
        <x:v>Par</x:v>
      </x:c>
      <x:c r="E572" s="77" t="s">
        <x:v>141</x:v>
      </x:c>
      <x:c r="F572" s="77">
        <x:v>1</x:v>
      </x:c>
      <x:c r="G572" s="71"/>
    </x:row>
    <x:row r="573">
      <x:c r="A573" s="82">
        <x:v>46167</x:v>
      </x:c>
      <x:c r="B573" s="77" t="s">
        <x:v>54</x:v>
      </x:c>
      <x:c r="C573" s="77" t="str">
        <x:f>IFERROR(VLOOKUP(B573,EPP!$B$7:$D$64,2,FALSE),"")</x:f>
        <x:v>GUANTE LARGO USO VETERINARIO</x:v>
      </x:c>
      <x:c r="D573" s="77" t="str">
        <x:f>IFERROR(VLOOKUP(B573,EPP!$B$7:$D$64,3,FALSE),"")</x:f>
        <x:v>Par</x:v>
      </x:c>
      <x:c r="E573" s="77" t="s">
        <x:v>154</x:v>
      </x:c>
      <x:c r="F573" s="77">
        <x:v>1</x:v>
      </x:c>
      <x:c r="G573" s="71"/>
    </x:row>
    <x:row r="574">
      <x:c r="A574" s="82">
        <x:v>46168</x:v>
      </x:c>
      <x:c r="B574" s="77" t="s">
        <x:v>52</x:v>
      </x:c>
      <x:c r="C574" s="77" t="str">
        <x:f>IFERROR(VLOOKUP(B574,EPP!$B$7:$D$64,2,FALSE),"")</x:f>
        <x:v>GUANTES DE NITRILO TL</x:v>
      </x:c>
      <x:c r="D574" s="77" t="str">
        <x:f>IFERROR(VLOOKUP(B574,EPP!$B$7:$D$64,3,FALSE),"")</x:f>
        <x:v>Par</x:v>
      </x:c>
      <x:c r="E574" s="77" t="s">
        <x:v>148</x:v>
      </x:c>
      <x:c r="F574" s="77">
        <x:v>1</x:v>
      </x:c>
      <x:c r="G574" s="71"/>
    </x:row>
    <x:row r="575">
      <x:c r="A575" s="82">
        <x:v>46168</x:v>
      </x:c>
      <x:c r="B575" s="77" t="s">
        <x:v>52</x:v>
      </x:c>
      <x:c r="C575" s="77" t="str">
        <x:f>IFERROR(VLOOKUP(B575,EPP!$B$7:$D$64,2,FALSE),"")</x:f>
        <x:v>GUANTES DE NITRILO TL</x:v>
      </x:c>
      <x:c r="D575" s="77" t="str">
        <x:f>IFERROR(VLOOKUP(B575,EPP!$B$7:$D$64,3,FALSE),"")</x:f>
        <x:v>Par</x:v>
      </x:c>
      <x:c r="E575" s="76" t="s">
        <x:v>142</x:v>
      </x:c>
      <x:c r="F575" s="77">
        <x:v>1</x:v>
      </x:c>
      <x:c r="G575" s="71"/>
    </x:row>
    <x:row r="576">
      <x:c r="A576" s="82">
        <x:v>46168</x:v>
      </x:c>
      <x:c r="B576" s="77" t="s">
        <x:v>60</x:v>
      </x:c>
      <x:c r="C576" s="77" t="str">
        <x:f>IFERROR(VLOOKUP(B576,EPP!$B$7:$D$64,2,FALSE),"")</x:f>
        <x:v>GUANTE INDUSTRIAL NITRILO CORTO T9</x:v>
      </x:c>
      <x:c r="D576" s="77" t="str">
        <x:f>IFERROR(VLOOKUP(B576,EPP!$B$7:$D$64,3,FALSE),"")</x:f>
        <x:v>Par</x:v>
      </x:c>
      <x:c r="E576" s="77" t="s">
        <x:v>190</x:v>
      </x:c>
      <x:c r="F576" s="77">
        <x:v>1</x:v>
      </x:c>
      <x:c r="G576" s="71"/>
    </x:row>
    <x:row r="577">
      <x:c r="A577" s="82">
        <x:v>46168</x:v>
      </x:c>
      <x:c r="B577" s="77" t="s">
        <x:v>50</x:v>
      </x:c>
      <x:c r="C577" s="77" t="str">
        <x:f>IFERROR(VLOOKUP(B577,EPP!$B$7:$D$64,2,FALSE),"")</x:f>
        <x:v>TAPABOCAS INDUSTRIAL NEGRO</x:v>
      </x:c>
      <x:c r="D577" s="77" t="str">
        <x:f>IFERROR(VLOOKUP(B577,EPP!$B$7:$D$64,3,FALSE),"")</x:f>
        <x:v>Unidad </x:v>
      </x:c>
      <x:c r="E577" s="77" t="s">
        <x:v>190</x:v>
      </x:c>
      <x:c r="F577" s="77">
        <x:v>1</x:v>
      </x:c>
      <x:c r="G577" s="71"/>
    </x:row>
    <x:row r="578">
      <x:c r="A578" s="82">
        <x:v>46168</x:v>
      </x:c>
      <x:c r="B578" s="77" t="s">
        <x:v>48</x:v>
      </x:c>
      <x:c r="C578" s="77" t="str">
        <x:f>IFERROR(VLOOKUP(B578,EPP!$B$7:$D$64,2,FALSE),"")</x:f>
        <x:v>TAPABOCAS DESECHABLE</x:v>
      </x:c>
      <x:c r="D578" s="77" t="str">
        <x:f>IFERROR(VLOOKUP(B578,EPP!$B$7:$D$64,3,FALSE),"")</x:f>
        <x:v>Unidad </x:v>
      </x:c>
      <x:c r="E578" s="77" t="s">
        <x:v>148</x:v>
      </x:c>
      <x:c r="F578" s="77">
        <x:v>1</x:v>
      </x:c>
      <x:c r="G578" s="71"/>
    </x:row>
    <x:row r="579">
      <x:c r="A579" s="82">
        <x:v>46168</x:v>
      </x:c>
      <x:c r="B579" s="77" t="s">
        <x:v>50</x:v>
      </x:c>
      <x:c r="C579" s="77" t="str">
        <x:f>IFERROR(VLOOKUP(B579,EPP!$B$7:$D$64,2,FALSE),"")</x:f>
        <x:v>TAPABOCAS INDUSTRIAL NEGRO</x:v>
      </x:c>
      <x:c r="D579" s="77" t="str">
        <x:f>IFERROR(VLOOKUP(B579,EPP!$B$7:$D$64,3,FALSE),"")</x:f>
        <x:v>Unidad </x:v>
      </x:c>
      <x:c r="E579" s="77" t="s">
        <x:v>158</x:v>
      </x:c>
      <x:c r="F579" s="77">
        <x:v>1</x:v>
      </x:c>
      <x:c r="G579" s="71"/>
    </x:row>
    <x:row r="580">
      <x:c r="A580" s="82">
        <x:v>46168</x:v>
      </x:c>
      <x:c r="B580" s="77" t="s">
        <x:v>50</x:v>
      </x:c>
      <x:c r="C580" s="77" t="str">
        <x:f>IFERROR(VLOOKUP(B580,EPP!$B$7:$D$64,2,FALSE),"")</x:f>
        <x:v>TAPABOCAS INDUSTRIAL NEGRO</x:v>
      </x:c>
      <x:c r="D580" s="77" t="str">
        <x:f>IFERROR(VLOOKUP(B580,EPP!$B$7:$D$64,3,FALSE),"")</x:f>
        <x:v>Unidad </x:v>
      </x:c>
      <x:c r="E580" s="77" t="s">
        <x:v>154</x:v>
      </x:c>
      <x:c r="F580" s="77">
        <x:v>1</x:v>
      </x:c>
      <x:c r="G580" s="71"/>
    </x:row>
    <x:row r="581">
      <x:c r="A581" s="82">
        <x:v>46168</x:v>
      </x:c>
      <x:c r="B581" s="77" t="s">
        <x:v>54</x:v>
      </x:c>
      <x:c r="C581" s="77" t="str">
        <x:f>IFERROR(VLOOKUP(B581,EPP!$B$7:$D$64,2,FALSE),"")</x:f>
        <x:v>GUANTE LARGO USO VETERINARIO</x:v>
      </x:c>
      <x:c r="D581" s="77" t="str">
        <x:f>IFERROR(VLOOKUP(B581,EPP!$B$7:$D$64,3,FALSE),"")</x:f>
        <x:v>Par</x:v>
      </x:c>
      <x:c r="E581" s="77" t="s">
        <x:v>154</x:v>
      </x:c>
      <x:c r="F581" s="77">
        <x:v>1</x:v>
      </x:c>
      <x:c r="G581" s="71"/>
    </x:row>
    <x:row r="582">
      <x:c r="A582" s="82">
        <x:v>46168</x:v>
      </x:c>
      <x:c r="B582" s="77" t="s">
        <x:v>54</x:v>
      </x:c>
      <x:c r="C582" s="77" t="str">
        <x:f>IFERROR(VLOOKUP(B582,EPP!$B$7:$D$64,2,FALSE),"")</x:f>
        <x:v>GUANTE LARGO USO VETERINARIO</x:v>
      </x:c>
      <x:c r="D582" s="77" t="str">
        <x:f>IFERROR(VLOOKUP(B582,EPP!$B$7:$D$64,3,FALSE),"")</x:f>
        <x:v>Par</x:v>
      </x:c>
      <x:c r="E582" s="77" t="s">
        <x:v>158</x:v>
      </x:c>
      <x:c r="F582" s="77">
        <x:v>1</x:v>
      </x:c>
      <x:c r="G582" s="71"/>
    </x:row>
    <x:row r="583">
      <x:c r="A583" s="82">
        <x:v>46168</x:v>
      </x:c>
      <x:c r="B583" s="77" t="s">
        <x:v>54</x:v>
      </x:c>
      <x:c r="C583" s="77" t="str">
        <x:f>IFERROR(VLOOKUP(B583,EPP!$B$7:$D$64,2,FALSE),"")</x:f>
        <x:v>GUANTE LARGO USO VETERINARIO</x:v>
      </x:c>
      <x:c r="D583" s="77" t="str">
        <x:f>IFERROR(VLOOKUP(B583,EPP!$B$7:$D$64,3,FALSE),"")</x:f>
        <x:v>Par</x:v>
      </x:c>
      <x:c r="E583" s="77" t="s">
        <x:v>166</x:v>
      </x:c>
      <x:c r="F583" s="77">
        <x:v>1</x:v>
      </x:c>
      <x:c r="G583" s="71"/>
    </x:row>
    <x:row r="584">
      <x:c r="A584" s="82">
        <x:v>46169</x:v>
      </x:c>
      <x:c r="B584" s="77" t="s">
        <x:v>52</x:v>
      </x:c>
      <x:c r="C584" s="77" t="str">
        <x:f>IFERROR(VLOOKUP(B584,EPP!$B$7:$D$64,2,FALSE),"")</x:f>
        <x:v>GUANTES DE NITRILO TL</x:v>
      </x:c>
      <x:c r="D584" s="77" t="str">
        <x:f>IFERROR(VLOOKUP(B584,EPP!$B$7:$D$64,3,FALSE),"")</x:f>
        <x:v>Par</x:v>
      </x:c>
      <x:c r="E584" s="77" t="s">
        <x:v>148</x:v>
      </x:c>
      <x:c r="F584" s="77">
        <x:v>1</x:v>
      </x:c>
      <x:c r="G584" s="71"/>
    </x:row>
    <x:row r="585">
      <x:c r="A585" s="82">
        <x:v>46169</x:v>
      </x:c>
      <x:c r="B585" s="77" t="s">
        <x:v>52</x:v>
      </x:c>
      <x:c r="C585" s="77" t="str">
        <x:f>IFERROR(VLOOKUP(B585,EPP!$B$7:$D$64,2,FALSE),"")</x:f>
        <x:v>GUANTES DE NITRILO TL</x:v>
      </x:c>
      <x:c r="D585" s="77" t="str">
        <x:f>IFERROR(VLOOKUP(B585,EPP!$B$7:$D$64,3,FALSE),"")</x:f>
        <x:v>Par</x:v>
      </x:c>
      <x:c r="E585" s="76" t="s">
        <x:v>142</x:v>
      </x:c>
      <x:c r="F585" s="77">
        <x:v>1</x:v>
      </x:c>
      <x:c r="G585" s="71"/>
    </x:row>
    <x:row r="586">
      <x:c r="A586" s="82">
        <x:v>46169</x:v>
      </x:c>
      <x:c r="B586" s="77" t="s">
        <x:v>48</x:v>
      </x:c>
      <x:c r="C586" s="77" t="str">
        <x:f>IFERROR(VLOOKUP(B586,EPP!$B$7:$D$64,2,FALSE),"")</x:f>
        <x:v>TAPABOCAS DESECHABLE</x:v>
      </x:c>
      <x:c r="D586" s="77" t="str">
        <x:f>IFERROR(VLOOKUP(B586,EPP!$B$7:$D$64,3,FALSE),"")</x:f>
        <x:v>Unidad </x:v>
      </x:c>
      <x:c r="E586" s="76" t="s">
        <x:v>185</x:v>
      </x:c>
      <x:c r="F586" s="77">
        <x:v>1</x:v>
      </x:c>
      <x:c r="G586" s="71"/>
    </x:row>
    <x:row r="587">
      <x:c r="A587" s="82">
        <x:v>46169</x:v>
      </x:c>
      <x:c r="B587" s="77" t="s">
        <x:v>52</x:v>
      </x:c>
      <x:c r="C587" s="77" t="str">
        <x:f>IFERROR(VLOOKUP(B587,EPP!$B$7:$D$64,2,FALSE),"")</x:f>
        <x:v>GUANTES DE NITRILO TL</x:v>
      </x:c>
      <x:c r="D587" s="77" t="str">
        <x:f>IFERROR(VLOOKUP(B587,EPP!$B$7:$D$64,3,FALSE),"")</x:f>
        <x:v>Par</x:v>
      </x:c>
      <x:c r="E587" s="77" t="s">
        <x:v>141</x:v>
      </x:c>
      <x:c r="F587" s="77">
        <x:v>1</x:v>
      </x:c>
      <x:c r="G587" s="71"/>
    </x:row>
    <x:row r="588">
      <x:c r="A588" s="82">
        <x:v>46169</x:v>
      </x:c>
      <x:c r="B588" s="77" t="s">
        <x:v>48</x:v>
      </x:c>
      <x:c r="C588" s="77" t="str">
        <x:f>IFERROR(VLOOKUP(B588,EPP!$B$7:$D$64,2,FALSE),"")</x:f>
        <x:v>TAPABOCAS DESECHABLE</x:v>
      </x:c>
      <x:c r="D588" s="77" t="str">
        <x:f>IFERROR(VLOOKUP(B588,EPP!$B$7:$D$64,3,FALSE),"")</x:f>
        <x:v>Unidad </x:v>
      </x:c>
      <x:c r="E588" s="77" t="s">
        <x:v>148</x:v>
      </x:c>
      <x:c r="F588" s="77">
        <x:v>1</x:v>
      </x:c>
      <x:c r="G588" s="71"/>
    </x:row>
    <x:row r="589">
      <x:c r="A589" s="82">
        <x:v>46169</x:v>
      </x:c>
      <x:c r="B589" s="77" t="s">
        <x:v>74</x:v>
      </x:c>
      <x:c r="C589" s="77" t="str">
        <x:f>IFERROR(VLOOKUP(B589,EPP!$B$7:$D$64,2,FALSE),"")</x:f>
        <x:v>GUANTE ANTICORTE T9</x:v>
      </x:c>
      <x:c r="D589" s="77" t="str">
        <x:f>IFERROR(VLOOKUP(B589,EPP!$B$7:$D$64,3,FALSE),"")</x:f>
        <x:v>Par</x:v>
      </x:c>
      <x:c r="E589" s="77" t="s">
        <x:v>147</x:v>
      </x:c>
      <x:c r="F589" s="77">
        <x:v>1</x:v>
      </x:c>
      <x:c r="G589" s="71"/>
    </x:row>
    <x:row r="590">
      <x:c r="A590" s="82">
        <x:v>46169</x:v>
      </x:c>
      <x:c r="B590" s="77" t="s">
        <x:v>52</x:v>
      </x:c>
      <x:c r="C590" s="77" t="str">
        <x:f>IFERROR(VLOOKUP(B590,EPP!$B$7:$D$64,2,FALSE),"")</x:f>
        <x:v>GUANTES DE NITRILO TL</x:v>
      </x:c>
      <x:c r="D590" s="77" t="str">
        <x:f>IFERROR(VLOOKUP(B590,EPP!$B$7:$D$64,3,FALSE),"")</x:f>
        <x:v>Par</x:v>
      </x:c>
      <x:c r="E590" s="77" t="s">
        <x:v>157</x:v>
      </x:c>
      <x:c r="F590" s="77">
        <x:v>1</x:v>
      </x:c>
      <x:c r="G590" s="71"/>
    </x:row>
    <x:row r="591">
      <x:c r="A591" s="82">
        <x:v>46169</x:v>
      </x:c>
      <x:c r="B591" s="77" t="s">
        <x:v>54</x:v>
      </x:c>
      <x:c r="C591" s="77" t="str">
        <x:f>IFERROR(VLOOKUP(B591,EPP!$B$7:$D$64,2,FALSE),"")</x:f>
        <x:v>GUANTE LARGO USO VETERINARIO</x:v>
      </x:c>
      <x:c r="D591" s="77" t="str">
        <x:f>IFERROR(VLOOKUP(B591,EPP!$B$7:$D$64,3,FALSE),"")</x:f>
        <x:v>Par</x:v>
      </x:c>
      <x:c r="E591" s="77" t="s">
        <x:v>158</x:v>
      </x:c>
      <x:c r="F591" s="77">
        <x:v>1</x:v>
      </x:c>
      <x:c r="G591" s="71"/>
    </x:row>
    <x:row r="592">
      <x:c r="A592" s="82">
        <x:v>46169</x:v>
      </x:c>
      <x:c r="B592" s="77" t="s">
        <x:v>48</x:v>
      </x:c>
      <x:c r="C592" s="77" t="str">
        <x:f>IFERROR(VLOOKUP(B592,EPP!$B$7:$D$64,2,FALSE),"")</x:f>
        <x:v>TAPABOCAS DESECHABLE</x:v>
      </x:c>
      <x:c r="D592" s="77" t="str">
        <x:f>IFERROR(VLOOKUP(B592,EPP!$B$7:$D$64,3,FALSE),"")</x:f>
        <x:v>Unidad </x:v>
      </x:c>
      <x:c r="E592" s="76" t="s">
        <x:v>142</x:v>
      </x:c>
      <x:c r="F592" s="77">
        <x:v>1</x:v>
      </x:c>
      <x:c r="G592" s="71"/>
    </x:row>
    <x:row r="593">
      <x:c r="A593" s="82">
        <x:v>46169</x:v>
      </x:c>
      <x:c r="B593" s="77" t="s">
        <x:v>48</x:v>
      </x:c>
      <x:c r="C593" s="77" t="str">
        <x:f>IFERROR(VLOOKUP(B593,EPP!$B$7:$D$64,2,FALSE),"")</x:f>
        <x:v>TAPABOCAS DESECHABLE</x:v>
      </x:c>
      <x:c r="D593" s="77" t="str">
        <x:f>IFERROR(VLOOKUP(B593,EPP!$B$7:$D$64,3,FALSE),"")</x:f>
        <x:v>Unidad </x:v>
      </x:c>
      <x:c r="E593" s="77" t="s">
        <x:v>141</x:v>
      </x:c>
      <x:c r="F593" s="77">
        <x:v>1</x:v>
      </x:c>
      <x:c r="G593" s="71"/>
    </x:row>
    <x:row r="594">
      <x:c r="A594" s="82">
        <x:v>46170</x:v>
      </x:c>
      <x:c r="B594" s="77" t="s">
        <x:v>48</x:v>
      </x:c>
      <x:c r="C594" s="77" t="str">
        <x:f>IFERROR(VLOOKUP(B594,EPP!$B$7:$D$64,2,FALSE),"")</x:f>
        <x:v>TAPABOCAS DESECHABLE</x:v>
      </x:c>
      <x:c r="D594" s="77" t="str">
        <x:f>IFERROR(VLOOKUP(B594,EPP!$B$7:$D$64,3,FALSE),"")</x:f>
        <x:v>Unidad </x:v>
      </x:c>
      <x:c r="E594" s="76" t="s">
        <x:v>185</x:v>
      </x:c>
      <x:c r="F594" s="77">
        <x:v>1</x:v>
      </x:c>
      <x:c r="G594" s="71"/>
    </x:row>
    <x:row r="595">
      <x:c r="A595" s="82">
        <x:v>46170</x:v>
      </x:c>
      <x:c r="B595" s="77" t="s">
        <x:v>86</x:v>
      </x:c>
      <x:c r="C595" s="77" t="str">
        <x:f>IFERROR(VLOOKUP(B595,EPP!$B$7:$D$64,2,FALSE),"")</x:f>
        <x:v>GUANTE KIM- NITRILO ARENADO T10</x:v>
      </x:c>
      <x:c r="D595" s="77" t="str">
        <x:f>IFERROR(VLOOKUP(B595,EPP!$B$7:$D$64,3,FALSE),"")</x:f>
        <x:v>Par</x:v>
      </x:c>
      <x:c r="E595" s="77" t="s">
        <x:v>157</x:v>
      </x:c>
      <x:c r="F595" s="77">
        <x:v>1</x:v>
      </x:c>
      <x:c r="G595" s="71"/>
    </x:row>
    <x:row r="596">
      <x:c r="A596" s="82">
        <x:v>46170</x:v>
      </x:c>
      <x:c r="B596" s="77" t="s">
        <x:v>116</x:v>
      </x:c>
      <x:c r="C596" s="77" t="str">
        <x:f>IFERROR(VLOOKUP(B596,EPP!$B$7:$D$64,2,FALSE),"")</x:f>
        <x:v>OVEROL DESCARTABLE TL</x:v>
      </x:c>
      <x:c r="D596" s="77" t="str">
        <x:f>IFERROR(VLOOKUP(B596,EPP!$B$7:$D$64,3,FALSE),"")</x:f>
        <x:v>Unidad </x:v>
      </x:c>
      <x:c r="E596" s="77" t="s">
        <x:v>191</x:v>
      </x:c>
      <x:c r="F596" s="77">
        <x:v>2</x:v>
      </x:c>
      <x:c r="G596" s="71"/>
    </x:row>
    <x:row r="597">
      <x:c r="A597" s="82">
        <x:v>46170</x:v>
      </x:c>
      <x:c r="B597" s="77" t="s">
        <x:v>50</x:v>
      </x:c>
      <x:c r="C597" s="77" t="str">
        <x:f>IFERROR(VLOOKUP(B597,EPP!$B$7:$D$64,2,FALSE),"")</x:f>
        <x:v>TAPABOCAS INDUSTRIAL NEGRO</x:v>
      </x:c>
      <x:c r="D597" s="77" t="str">
        <x:f>IFERROR(VLOOKUP(B597,EPP!$B$7:$D$64,3,FALSE),"")</x:f>
        <x:v>Unidad </x:v>
      </x:c>
      <x:c r="E597" s="77" t="s">
        <x:v>158</x:v>
      </x:c>
      <x:c r="F597" s="77">
        <x:v>1</x:v>
      </x:c>
      <x:c r="G597" s="71"/>
    </x:row>
    <x:row r="598">
      <x:c r="A598" s="82">
        <x:v>46170</x:v>
      </x:c>
      <x:c r="B598" s="77" t="s">
        <x:v>52</x:v>
      </x:c>
      <x:c r="C598" s="77" t="str">
        <x:f>IFERROR(VLOOKUP(B598,EPP!$B$7:$D$64,2,FALSE),"")</x:f>
        <x:v>GUANTES DE NITRILO TL</x:v>
      </x:c>
      <x:c r="D598" s="77" t="str">
        <x:f>IFERROR(VLOOKUP(B598,EPP!$B$7:$D$64,3,FALSE),"")</x:f>
        <x:v>Par</x:v>
      </x:c>
      <x:c r="E598" s="77" t="s">
        <x:v>148</x:v>
      </x:c>
      <x:c r="F598" s="77">
        <x:v>1</x:v>
      </x:c>
      <x:c r="G598" s="71"/>
    </x:row>
    <x:row r="599">
      <x:c r="A599" s="82">
        <x:v>46170</x:v>
      </x:c>
      <x:c r="B599" s="77" t="s">
        <x:v>54</x:v>
      </x:c>
      <x:c r="C599" s="77" t="str">
        <x:f>IFERROR(VLOOKUP(B599,EPP!$B$7:$D$64,2,FALSE),"")</x:f>
        <x:v>GUANTE LARGO USO VETERINARIO</x:v>
      </x:c>
      <x:c r="D599" s="77" t="str">
        <x:f>IFERROR(VLOOKUP(B599,EPP!$B$7:$D$64,3,FALSE),"")</x:f>
        <x:v>Par</x:v>
      </x:c>
      <x:c r="E599" s="77" t="s">
        <x:v>154</x:v>
      </x:c>
      <x:c r="F599" s="77">
        <x:v>1</x:v>
      </x:c>
      <x:c r="G599" s="71"/>
    </x:row>
    <x:row r="600">
      <x:c r="A600" s="82">
        <x:v>46170</x:v>
      </x:c>
      <x:c r="B600" s="77" t="s">
        <x:v>50</x:v>
      </x:c>
      <x:c r="C600" s="77" t="str">
        <x:f>IFERROR(VLOOKUP(B600,EPP!$B$7:$D$64,2,FALSE),"")</x:f>
        <x:v>TAPABOCAS INDUSTRIAL NEGRO</x:v>
      </x:c>
      <x:c r="D600" s="77" t="str">
        <x:f>IFERROR(VLOOKUP(B600,EPP!$B$7:$D$64,3,FALSE),"")</x:f>
        <x:v>Unidad </x:v>
      </x:c>
      <x:c r="E600" s="77" t="s">
        <x:v>154</x:v>
      </x:c>
      <x:c r="F600" s="77">
        <x:v>1</x:v>
      </x:c>
      <x:c r="G600" s="71"/>
    </x:row>
    <x:row r="601">
      <x:c r="A601" s="82">
        <x:v>46170</x:v>
      </x:c>
      <x:c r="B601" s="77" t="s">
        <x:v>52</x:v>
      </x:c>
      <x:c r="C601" s="77" t="str">
        <x:f>IFERROR(VLOOKUP(B601,EPP!$B$7:$D$64,2,FALSE),"")</x:f>
        <x:v>GUANTES DE NITRILO TL</x:v>
      </x:c>
      <x:c r="D601" s="77" t="str">
        <x:f>IFERROR(VLOOKUP(B601,EPP!$B$7:$D$64,3,FALSE),"")</x:f>
        <x:v>Par</x:v>
      </x:c>
      <x:c r="E601" s="76" t="s">
        <x:v>142</x:v>
      </x:c>
      <x:c r="F601" s="77">
        <x:v>1</x:v>
      </x:c>
      <x:c r="G601" s="71"/>
    </x:row>
    <x:row r="602">
      <x:c r="A602" s="82">
        <x:v>46170</x:v>
      </x:c>
      <x:c r="B602" s="77" t="s">
        <x:v>48</x:v>
      </x:c>
      <x:c r="C602" s="77" t="str">
        <x:f>IFERROR(VLOOKUP(B602,EPP!$B$7:$D$64,2,FALSE),"")</x:f>
        <x:v>TAPABOCAS DESECHABLE</x:v>
      </x:c>
      <x:c r="D602" s="77" t="str">
        <x:f>IFERROR(VLOOKUP(B602,EPP!$B$7:$D$64,3,FALSE),"")</x:f>
        <x:v>Unidad </x:v>
      </x:c>
      <x:c r="E602" s="76" t="s">
        <x:v>142</x:v>
      </x:c>
      <x:c r="F602" s="77">
        <x:v>1</x:v>
      </x:c>
      <x:c r="G602" s="71"/>
    </x:row>
    <x:row r="603">
      <x:c r="A603" s="82">
        <x:v>46170</x:v>
      </x:c>
      <x:c r="B603" s="77" t="s">
        <x:v>54</x:v>
      </x:c>
      <x:c r="C603" s="77" t="str">
        <x:f>IFERROR(VLOOKUP(B603,EPP!$B$7:$D$64,2,FALSE),"")</x:f>
        <x:v>GUANTE LARGO USO VETERINARIO</x:v>
      </x:c>
      <x:c r="D603" s="77" t="str">
        <x:f>IFERROR(VLOOKUP(B603,EPP!$B$7:$D$64,3,FALSE),"")</x:f>
        <x:v>Par</x:v>
      </x:c>
      <x:c r="E603" s="77" t="s">
        <x:v>158</x:v>
      </x:c>
      <x:c r="F603" s="77">
        <x:v>1</x:v>
      </x:c>
      <x:c r="G603" s="71"/>
    </x:row>
    <x:row r="604">
      <x:c r="A604" s="82">
        <x:v>46170</x:v>
      </x:c>
      <x:c r="B604" s="77" t="s">
        <x:v>54</x:v>
      </x:c>
      <x:c r="C604" s="77" t="str">
        <x:f>IFERROR(VLOOKUP(B604,EPP!$B$7:$D$64,2,FALSE),"")</x:f>
        <x:v>GUANTE LARGO USO VETERINARIO</x:v>
      </x:c>
      <x:c r="D604" s="77" t="str">
        <x:f>IFERROR(VLOOKUP(B604,EPP!$B$7:$D$64,3,FALSE),"")</x:f>
        <x:v>Par</x:v>
      </x:c>
      <x:c r="E604" s="77" t="s">
        <x:v>166</x:v>
      </x:c>
      <x:c r="F604" s="77">
        <x:v>1</x:v>
      </x:c>
      <x:c r="G604" s="71"/>
    </x:row>
    <x:row r="605">
      <x:c r="A605" s="82">
        <x:v>46171</x:v>
      </x:c>
      <x:c r="B605" s="77" t="s">
        <x:v>52</x:v>
      </x:c>
      <x:c r="C605" s="77" t="str">
        <x:f>IFERROR(VLOOKUP(B605,EPP!$B$7:$D$64,2,FALSE),"")</x:f>
        <x:v>GUANTES DE NITRILO TL</x:v>
      </x:c>
      <x:c r="D605" s="77" t="str">
        <x:f>IFERROR(VLOOKUP(B605,EPP!$B$7:$D$64,3,FALSE),"")</x:f>
        <x:v>Par</x:v>
      </x:c>
      <x:c r="E605" s="77" t="s">
        <x:v>148</x:v>
      </x:c>
      <x:c r="F605" s="77">
        <x:v>1</x:v>
      </x:c>
      <x:c r="G605" s="71"/>
    </x:row>
    <x:row r="606">
      <x:c r="A606" s="82">
        <x:v>46171</x:v>
      </x:c>
      <x:c r="B606" s="77" t="s">
        <x:v>52</x:v>
      </x:c>
      <x:c r="C606" s="77" t="str">
        <x:f>IFERROR(VLOOKUP(B606,EPP!$B$7:$D$64,2,FALSE),"")</x:f>
        <x:v>GUANTES DE NITRILO TL</x:v>
      </x:c>
      <x:c r="D606" s="77" t="str">
        <x:f>IFERROR(VLOOKUP(B606,EPP!$B$7:$D$64,3,FALSE),"")</x:f>
        <x:v>Par</x:v>
      </x:c>
      <x:c r="E606" s="77" t="s">
        <x:v>153</x:v>
      </x:c>
      <x:c r="F606" s="77">
        <x:v>1</x:v>
      </x:c>
      <x:c r="G606" s="71"/>
    </x:row>
    <x:row r="607">
      <x:c r="A607" s="82">
        <x:v>46171</x:v>
      </x:c>
      <x:c r="B607" s="77" t="s">
        <x:v>48</x:v>
      </x:c>
      <x:c r="C607" s="77" t="str">
        <x:f>IFERROR(VLOOKUP(B607,EPP!$B$7:$D$64,2,FALSE),"")</x:f>
        <x:v>TAPABOCAS DESECHABLE</x:v>
      </x:c>
      <x:c r="D607" s="77" t="str">
        <x:f>IFERROR(VLOOKUP(B607,EPP!$B$7:$D$64,3,FALSE),"")</x:f>
        <x:v>Unidad </x:v>
      </x:c>
      <x:c r="E607" s="77" t="s">
        <x:v>153</x:v>
      </x:c>
      <x:c r="F607" s="77">
        <x:v>1</x:v>
      </x:c>
      <x:c r="G607" s="71"/>
    </x:row>
    <x:row r="608">
      <x:c r="A608" s="82">
        <x:v>46171</x:v>
      </x:c>
      <x:c r="B608" s="77" t="s">
        <x:v>48</x:v>
      </x:c>
      <x:c r="C608" s="77" t="str">
        <x:f>IFERROR(VLOOKUP(B608,EPP!$B$7:$D$64,2,FALSE),"")</x:f>
        <x:v>TAPABOCAS DESECHABLE</x:v>
      </x:c>
      <x:c r="D608" s="77" t="str">
        <x:f>IFERROR(VLOOKUP(B608,EPP!$B$7:$D$64,3,FALSE),"")</x:f>
        <x:v>Unidad </x:v>
      </x:c>
      <x:c r="E608" s="77" t="s">
        <x:v>148</x:v>
      </x:c>
      <x:c r="F608" s="77">
        <x:v>1</x:v>
      </x:c>
      <x:c r="G608" s="71"/>
    </x:row>
    <x:row r="609">
      <x:c r="A609" s="82">
        <x:v>46171</x:v>
      </x:c>
      <x:c r="B609" s="77" t="s">
        <x:v>50</x:v>
      </x:c>
      <x:c r="C609" s="77" t="str">
        <x:f>IFERROR(VLOOKUP(B609,EPP!$B$7:$D$64,2,FALSE),"")</x:f>
        <x:v>TAPABOCAS INDUSTRIAL NEGRO</x:v>
      </x:c>
      <x:c r="D609" s="77" t="str">
        <x:f>IFERROR(VLOOKUP(B609,EPP!$B$7:$D$64,3,FALSE),"")</x:f>
        <x:v>Unidad </x:v>
      </x:c>
      <x:c r="E609" s="77" t="s">
        <x:v>166</x:v>
      </x:c>
      <x:c r="F609" s="77">
        <x:v>1</x:v>
      </x:c>
      <x:c r="G609" s="71"/>
    </x:row>
    <x:row r="610">
      <x:c r="A610" s="82">
        <x:v>46171</x:v>
      </x:c>
      <x:c r="B610" s="77" t="s">
        <x:v>78</x:v>
      </x:c>
      <x:c r="C610" s="77" t="str">
        <x:f>IFERROR(VLOOKUP(B610,EPP!$B$7:$D$64,2,FALSE),"")</x:f>
        <x:v>GUANTE KIM- NITRILO ARENADO T9</x:v>
      </x:c>
      <x:c r="D610" s="77" t="str">
        <x:f>IFERROR(VLOOKUP(B610,EPP!$B$7:$D$64,3,FALSE),"")</x:f>
        <x:v>Par</x:v>
      </x:c>
      <x:c r="E610" s="77" t="s">
        <x:v>158</x:v>
      </x:c>
      <x:c r="F610" s="77">
        <x:v>1</x:v>
      </x:c>
      <x:c r="G610" s="71"/>
    </x:row>
    <x:row r="611">
      <x:c r="A611" s="82">
        <x:v>46171</x:v>
      </x:c>
      <x:c r="B611" s="77" t="s">
        <x:v>54</x:v>
      </x:c>
      <x:c r="C611" s="77" t="str">
        <x:f>IFERROR(VLOOKUP(B611,EPP!$B$7:$D$64,2,FALSE),"")</x:f>
        <x:v>GUANTE LARGO USO VETERINARIO</x:v>
      </x:c>
      <x:c r="D611" s="77" t="str">
        <x:f>IFERROR(VLOOKUP(B611,EPP!$B$7:$D$64,3,FALSE),"")</x:f>
        <x:v>Par</x:v>
      </x:c>
      <x:c r="E611" s="77" t="s">
        <x:v>158</x:v>
      </x:c>
      <x:c r="F611" s="77">
        <x:v>1</x:v>
      </x:c>
      <x:c r="G611" s="71"/>
    </x:row>
    <x:row r="612">
      <x:c r="A612" s="82">
        <x:v>46172</x:v>
      </x:c>
      <x:c r="B612" s="77" t="s">
        <x:v>52</x:v>
      </x:c>
      <x:c r="C612" s="77" t="str">
        <x:f>IFERROR(VLOOKUP(B612,EPP!$B$7:$D$64,2,FALSE),"")</x:f>
        <x:v>GUANTES DE NITRILO TL</x:v>
      </x:c>
      <x:c r="D612" s="77" t="str">
        <x:f>IFERROR(VLOOKUP(B612,EPP!$B$7:$D$64,3,FALSE),"")</x:f>
        <x:v>Par</x:v>
      </x:c>
      <x:c r="E612" s="77" t="s">
        <x:v>148</x:v>
      </x:c>
      <x:c r="F612" s="77">
        <x:v>1</x:v>
      </x:c>
      <x:c r="G612" s="71"/>
    </x:row>
    <x:row r="613">
      <x:c r="A613" s="82">
        <x:v>46172</x:v>
      </x:c>
      <x:c r="B613" s="77" t="s">
        <x:v>52</x:v>
      </x:c>
      <x:c r="C613" s="77" t="str">
        <x:f>IFERROR(VLOOKUP(B613,EPP!$B$7:$D$64,2,FALSE),"")</x:f>
        <x:v>GUANTES DE NITRILO TL</x:v>
      </x:c>
      <x:c r="D613" s="77" t="str">
        <x:f>IFERROR(VLOOKUP(B613,EPP!$B$7:$D$64,3,FALSE),"")</x:f>
        <x:v>Par</x:v>
      </x:c>
      <x:c r="E613" s="77" t="s">
        <x:v>158</x:v>
      </x:c>
      <x:c r="F613" s="77">
        <x:v>1</x:v>
      </x:c>
      <x:c r="G613" s="71"/>
    </x:row>
    <x:row r="614">
      <x:c r="A614" s="82">
        <x:v>46172</x:v>
      </x:c>
      <x:c r="B614" s="77" t="s">
        <x:v>52</x:v>
      </x:c>
      <x:c r="C614" s="77" t="str">
        <x:f>IFERROR(VLOOKUP(B614,EPP!$B$7:$D$64,2,FALSE),"")</x:f>
        <x:v>GUANTES DE NITRILO TL</x:v>
      </x:c>
      <x:c r="D614" s="77" t="str">
        <x:f>IFERROR(VLOOKUP(B614,EPP!$B$7:$D$64,3,FALSE),"")</x:f>
        <x:v>Par</x:v>
      </x:c>
      <x:c r="E614" s="77" t="s">
        <x:v>141</x:v>
      </x:c>
      <x:c r="F614" s="77">
        <x:v>1</x:v>
      </x:c>
      <x:c r="G614" s="71"/>
    </x:row>
    <x:row r="615">
      <x:c r="A615" s="82">
        <x:v>46172</x:v>
      </x:c>
      <x:c r="B615" s="77" t="s">
        <x:v>48</x:v>
      </x:c>
      <x:c r="C615" s="77" t="str">
        <x:f>IFERROR(VLOOKUP(B615,EPP!$B$7:$D$64,2,FALSE),"")</x:f>
        <x:v>TAPABOCAS DESECHABLE</x:v>
      </x:c>
      <x:c r="D615" s="77" t="str">
        <x:f>IFERROR(VLOOKUP(B615,EPP!$B$7:$D$64,3,FALSE),"")</x:f>
        <x:v>Unidad </x:v>
      </x:c>
      <x:c r="E615" s="77" t="s">
        <x:v>158</x:v>
      </x:c>
      <x:c r="F615" s="77">
        <x:v>1</x:v>
      </x:c>
      <x:c r="G615" s="71"/>
    </x:row>
    <x:row r="616">
      <x:c r="A616" s="82">
        <x:v>46172</x:v>
      </x:c>
      <x:c r="B616" s="77" t="s">
        <x:v>88</x:v>
      </x:c>
      <x:c r="C616" s="77" t="str">
        <x:f>IFERROR(VLOOKUP(B616,EPP!$B$7:$D$64,2,FALSE),"")</x:f>
        <x:v>PROTECTOR AUDITIVO INSERCIÓN</x:v>
      </x:c>
      <x:c r="D616" s="77" t="str">
        <x:f>IFERROR(VLOOKUP(B616,EPP!$B$7:$D$64,3,FALSE),"")</x:f>
        <x:v>Unidad </x:v>
      </x:c>
      <x:c r="E616" s="77" t="s">
        <x:v>154</x:v>
      </x:c>
      <x:c r="F616" s="77">
        <x:v>1</x:v>
      </x:c>
      <x:c r="G616" s="71"/>
    </x:row>
    <x:row r="617">
      <x:c r="A617" s="82">
        <x:v>46172</x:v>
      </x:c>
      <x:c r="B617" s="77" t="s">
        <x:v>86</x:v>
      </x:c>
      <x:c r="C617" s="77" t="str">
        <x:f>IFERROR(VLOOKUP(B617,EPP!$B$7:$D$64,2,FALSE),"")</x:f>
        <x:v>GUANTE KIM- NITRILO ARENADO T10</x:v>
      </x:c>
      <x:c r="D617" s="77" t="str">
        <x:f>IFERROR(VLOOKUP(B617,EPP!$B$7:$D$64,3,FALSE),"")</x:f>
        <x:v>Par</x:v>
      </x:c>
      <x:c r="E617" s="77" t="s">
        <x:v>154</x:v>
      </x:c>
      <x:c r="F617" s="77">
        <x:v>1</x:v>
      </x:c>
      <x:c r="G617" s="71"/>
    </x:row>
    <x:row r="618">
      <x:c r="A618" s="82">
        <x:v>46172</x:v>
      </x:c>
      <x:c r="B618" s="77" t="s">
        <x:v>114</x:v>
      </x:c>
      <x:c r="C618" s="77" t="str">
        <x:f>IFERROR(VLOOKUP(B618,EPP!$B$7:$D$64,2,FALSE),"")</x:f>
        <x:v>OVEROL DESCARTABLE TM</x:v>
      </x:c>
      <x:c r="D618" s="77" t="str">
        <x:f>IFERROR(VLOOKUP(B618,EPP!$B$7:$D$64,3,FALSE),"")</x:f>
        <x:v>Unidad </x:v>
      </x:c>
      <x:c r="E618" s="77" t="s">
        <x:v>154</x:v>
      </x:c>
      <x:c r="F618" s="77">
        <x:v>1</x:v>
      </x:c>
      <x:c r="G618" s="71"/>
    </x:row>
    <x:row r="619">
      <x:c r="A619" s="82">
        <x:v>46173</x:v>
      </x:c>
      <x:c r="B619" s="77" t="s">
        <x:v>52</x:v>
      </x:c>
      <x:c r="C619" s="77" t="str">
        <x:f>IFERROR(VLOOKUP(B619,EPP!$B$7:$D$64,2,FALSE),"")</x:f>
        <x:v>GUANTES DE NITRILO TL</x:v>
      </x:c>
      <x:c r="D619" s="77" t="str">
        <x:f>IFERROR(VLOOKUP(B619,EPP!$B$7:$D$64,3,FALSE),"")</x:f>
        <x:v>Par</x:v>
      </x:c>
      <x:c r="E619" s="77" t="s">
        <x:v>158</x:v>
      </x:c>
      <x:c r="F619" s="77">
        <x:v>1</x:v>
      </x:c>
      <x:c r="G619" s="71"/>
    </x:row>
    <x:row r="620">
      <x:c r="A620" s="82">
        <x:v>46173</x:v>
      </x:c>
      <x:c r="B620" s="77" t="s">
        <x:v>48</x:v>
      </x:c>
      <x:c r="C620" s="77" t="str">
        <x:f>IFERROR(VLOOKUP(B620,EPP!$B$7:$D$64,2,FALSE),"")</x:f>
        <x:v>TAPABOCAS DESECHABLE</x:v>
      </x:c>
      <x:c r="D620" s="77" t="str">
        <x:f>IFERROR(VLOOKUP(B620,EPP!$B$7:$D$64,3,FALSE),"")</x:f>
        <x:v>Unidad </x:v>
      </x:c>
      <x:c r="E620" s="77" t="s">
        <x:v>148</x:v>
      </x:c>
      <x:c r="F620" s="77">
        <x:v>1</x:v>
      </x:c>
      <x:c r="G620" s="71"/>
    </x:row>
    <x:row r="621">
      <x:c r="A621" s="82">
        <x:v>46173</x:v>
      </x:c>
      <x:c r="B621" s="77" t="s">
        <x:v>52</x:v>
      </x:c>
      <x:c r="C621" s="77" t="str">
        <x:f>IFERROR(VLOOKUP(B621,EPP!$B$7:$D$64,2,FALSE),"")</x:f>
        <x:v>GUANTES DE NITRILO TL</x:v>
      </x:c>
      <x:c r="D621" s="77" t="str">
        <x:f>IFERROR(VLOOKUP(B621,EPP!$B$7:$D$64,3,FALSE),"")</x:f>
        <x:v>Par</x:v>
      </x:c>
      <x:c r="E621" s="77" t="s">
        <x:v>148</x:v>
      </x:c>
      <x:c r="F621" s="77">
        <x:v>1</x:v>
      </x:c>
      <x:c r="G621" s="71"/>
    </x:row>
    <x:row r="622">
      <x:c r="A622" s="82">
        <x:v>46174</x:v>
      </x:c>
      <x:c r="B622" s="77" t="s">
        <x:v>78</x:v>
      </x:c>
      <x:c r="C622" s="77" t="str">
        <x:f>IFERROR(VLOOKUP(B622,EPP!$B$7:$D$64,2,FALSE),"")</x:f>
        <x:v>GUANTE KIM- NITRILO ARENADO T9</x:v>
      </x:c>
      <x:c r="D622" s="77" t="str">
        <x:f>IFERROR(VLOOKUP(B622,EPP!$B$7:$D$64,3,FALSE),"")</x:f>
        <x:v>Par</x:v>
      </x:c>
      <x:c r="E622" s="77" t="s">
        <x:v>161</x:v>
      </x:c>
      <x:c r="F622" s="77">
        <x:v>1</x:v>
      </x:c>
      <x:c r="G622" s="71"/>
    </x:row>
    <x:row r="623">
      <x:c r="A623" s="82">
        <x:v>46175</x:v>
      </x:c>
      <x:c r="B623" s="77" t="s">
        <x:v>78</x:v>
      </x:c>
      <x:c r="C623" s="77" t="str">
        <x:f>IFERROR(VLOOKUP(B623,EPP!$B$7:$D$64,2,FALSE),"")</x:f>
        <x:v>GUANTE KIM- NITRILO ARENADO T9</x:v>
      </x:c>
      <x:c r="D623" s="77" t="str">
        <x:f>IFERROR(VLOOKUP(B623,EPP!$B$7:$D$64,3,FALSE),"")</x:f>
        <x:v>Par</x:v>
      </x:c>
      <x:c r="E623" s="77" t="s">
        <x:v>172</x:v>
      </x:c>
      <x:c r="F623" s="77">
        <x:v>1</x:v>
      </x:c>
      <x:c r="G623" s="71"/>
    </x:row>
    <x:row r="624">
      <x:c r="A624" s="82">
        <x:v>46175</x:v>
      </x:c>
      <x:c r="B624" s="77" t="s">
        <x:v>48</x:v>
      </x:c>
      <x:c r="C624" s="77" t="str">
        <x:f>IFERROR(VLOOKUP(B624,EPP!$B$7:$D$64,2,FALSE),"")</x:f>
        <x:v>TAPABOCAS DESECHABLE</x:v>
      </x:c>
      <x:c r="D624" s="77" t="str">
        <x:f>IFERROR(VLOOKUP(B624,EPP!$B$7:$D$64,3,FALSE),"")</x:f>
        <x:v>Unidad </x:v>
      </x:c>
      <x:c r="E624" s="76" t="s">
        <x:v>186</x:v>
      </x:c>
      <x:c r="F624" s="77">
        <x:v>1</x:v>
      </x:c>
      <x:c r="G624" s="71"/>
    </x:row>
    <x:row r="625">
      <x:c r="A625" s="82">
        <x:v>46175</x:v>
      </x:c>
      <x:c r="B625" s="77" t="s">
        <x:v>52</x:v>
      </x:c>
      <x:c r="C625" s="77" t="str">
        <x:f>IFERROR(VLOOKUP(B625,EPP!$B$7:$D$64,2,FALSE),"")</x:f>
        <x:v>GUANTES DE NITRILO TL</x:v>
      </x:c>
      <x:c r="D625" s="77" t="str">
        <x:f>IFERROR(VLOOKUP(B625,EPP!$B$7:$D$64,3,FALSE),"")</x:f>
        <x:v>Par</x:v>
      </x:c>
      <x:c r="E625" s="77" t="s">
        <x:v>153</x:v>
      </x:c>
      <x:c r="F625" s="77">
        <x:v>1</x:v>
      </x:c>
      <x:c r="G625" s="71"/>
    </x:row>
    <x:row r="626">
      <x:c r="A626" s="82">
        <x:v>46175</x:v>
      </x:c>
      <x:c r="B626" s="77" t="s">
        <x:v>48</x:v>
      </x:c>
      <x:c r="C626" s="77" t="str">
        <x:f>IFERROR(VLOOKUP(B626,EPP!$B$7:$D$64,2,FALSE),"")</x:f>
        <x:v>TAPABOCAS DESECHABLE</x:v>
      </x:c>
      <x:c r="D626" s="77" t="str">
        <x:f>IFERROR(VLOOKUP(B626,EPP!$B$7:$D$64,3,FALSE),"")</x:f>
        <x:v>Unidad </x:v>
      </x:c>
      <x:c r="E626" s="77" t="s">
        <x:v>153</x:v>
      </x:c>
      <x:c r="F626" s="77">
        <x:v>1</x:v>
      </x:c>
      <x:c r="G626" s="71"/>
    </x:row>
    <x:row r="627">
      <x:c r="A627" s="82">
        <x:v>46175</x:v>
      </x:c>
      <x:c r="B627" s="77" t="s">
        <x:v>48</x:v>
      </x:c>
      <x:c r="C627" s="77" t="str">
        <x:f>IFERROR(VLOOKUP(B627,EPP!$B$7:$D$64,2,FALSE),"")</x:f>
        <x:v>TAPABOCAS DESECHABLE</x:v>
      </x:c>
      <x:c r="D627" s="77" t="str">
        <x:f>IFERROR(VLOOKUP(B627,EPP!$B$7:$D$64,3,FALSE),"")</x:f>
        <x:v>Unidad </x:v>
      </x:c>
      <x:c r="E627" s="77" t="s">
        <x:v>157</x:v>
      </x:c>
      <x:c r="F627" s="77">
        <x:v>1</x:v>
      </x:c>
      <x:c r="G627" s="71"/>
    </x:row>
    <x:row r="628">
      <x:c r="A628" s="82">
        <x:v>46175</x:v>
      </x:c>
      <x:c r="B628" s="77" t="s">
        <x:v>58</x:v>
      </x:c>
      <x:c r="C628" s="77" t="str">
        <x:f>IFERROR(VLOOKUP(B628,EPP!$B$7:$D$64,2,FALSE),"")</x:f>
        <x:v>GUANTE INDUSTRIAL NITRILO CORTO T8</x:v>
      </x:c>
      <x:c r="D628" s="77" t="str">
        <x:f>IFERROR(VLOOKUP(B628,EPP!$B$7:$D$64,3,FALSE),"")</x:f>
        <x:v>Par</x:v>
      </x:c>
      <x:c r="E628" s="76" t="s">
        <x:v>186</x:v>
      </x:c>
      <x:c r="F628" s="77">
        <x:v>1</x:v>
      </x:c>
      <x:c r="G628" s="71"/>
    </x:row>
    <x:row r="629">
      <x:c r="A629" s="82">
        <x:v>46175</x:v>
      </x:c>
      <x:c r="B629" s="77" t="s">
        <x:v>50</x:v>
      </x:c>
      <x:c r="C629" s="77" t="str">
        <x:f>IFERROR(VLOOKUP(B629,EPP!$B$7:$D$64,2,FALSE),"")</x:f>
        <x:v>TAPABOCAS INDUSTRIAL NEGRO</x:v>
      </x:c>
      <x:c r="D629" s="77" t="str">
        <x:f>IFERROR(VLOOKUP(B629,EPP!$B$7:$D$64,3,FALSE),"")</x:f>
        <x:v>Unidad </x:v>
      </x:c>
      <x:c r="E629" s="76" t="s">
        <x:v>185</x:v>
      </x:c>
      <x:c r="F629" s="77">
        <x:v>1</x:v>
      </x:c>
      <x:c r="G629" s="71"/>
    </x:row>
    <x:row r="630">
      <x:c r="A630" s="82">
        <x:v>46175</x:v>
      </x:c>
      <x:c r="B630" s="77" t="s">
        <x:v>54</x:v>
      </x:c>
      <x:c r="C630" s="77" t="str">
        <x:f>IFERROR(VLOOKUP(B630,EPP!$B$7:$D$64,2,FALSE),"")</x:f>
        <x:v>GUANTE LARGO USO VETERINARIO</x:v>
      </x:c>
      <x:c r="D630" s="77" t="str">
        <x:f>IFERROR(VLOOKUP(B630,EPP!$B$7:$D$64,3,FALSE),"")</x:f>
        <x:v>Par</x:v>
      </x:c>
      <x:c r="E630" s="77" t="s">
        <x:v>154</x:v>
      </x:c>
      <x:c r="F630" s="77">
        <x:v>1</x:v>
      </x:c>
      <x:c r="G630" s="71"/>
    </x:row>
    <x:row r="631">
      <x:c r="A631" s="82">
        <x:v>46175</x:v>
      </x:c>
      <x:c r="B631" s="77" t="s">
        <x:v>54</x:v>
      </x:c>
      <x:c r="C631" s="77" t="str">
        <x:f>IFERROR(VLOOKUP(B631,EPP!$B$7:$D$64,2,FALSE),"")</x:f>
        <x:v>GUANTE LARGO USO VETERINARIO</x:v>
      </x:c>
      <x:c r="D631" s="77" t="str">
        <x:f>IFERROR(VLOOKUP(B631,EPP!$B$7:$D$64,3,FALSE),"")</x:f>
        <x:v>Par</x:v>
      </x:c>
      <x:c r="E631" s="76" t="s">
        <x:v>185</x:v>
      </x:c>
      <x:c r="F631" s="77">
        <x:v>1</x:v>
      </x:c>
      <x:c r="G631" s="71"/>
    </x:row>
    <x:row r="632">
      <x:c r="A632" s="82">
        <x:v>46176</x:v>
      </x:c>
      <x:c r="B632" s="77" t="s">
        <x:v>48</x:v>
      </x:c>
      <x:c r="C632" s="77" t="str">
        <x:f>IFERROR(VLOOKUP(B632,EPP!$B$7:$D$64,2,FALSE),"")</x:f>
        <x:v>TAPABOCAS DESECHABLE</x:v>
      </x:c>
      <x:c r="D632" s="77" t="str">
        <x:f>IFERROR(VLOOKUP(B632,EPP!$B$7:$D$64,3,FALSE),"")</x:f>
        <x:v>Unidad </x:v>
      </x:c>
      <x:c r="E632" s="77" t="s">
        <x:v>148</x:v>
      </x:c>
      <x:c r="F632" s="77">
        <x:v>1</x:v>
      </x:c>
      <x:c r="G632" s="71"/>
    </x:row>
    <x:row r="633">
      <x:c r="A633" s="82">
        <x:v>46176</x:v>
      </x:c>
      <x:c r="B633" s="77" t="s">
        <x:v>52</x:v>
      </x:c>
      <x:c r="C633" s="77" t="str">
        <x:f>IFERROR(VLOOKUP(B633,EPP!$B$7:$D$64,2,FALSE),"")</x:f>
        <x:v>GUANTES DE NITRILO TL</x:v>
      </x:c>
      <x:c r="D633" s="77" t="str">
        <x:f>IFERROR(VLOOKUP(B633,EPP!$B$7:$D$64,3,FALSE),"")</x:f>
        <x:v>Par</x:v>
      </x:c>
      <x:c r="E633" s="77" t="s">
        <x:v>141</x:v>
      </x:c>
      <x:c r="F633" s="77">
        <x:v>1</x:v>
      </x:c>
      <x:c r="G633" s="71"/>
    </x:row>
    <x:row r="634">
      <x:c r="A634" s="82">
        <x:v>46176</x:v>
      </x:c>
      <x:c r="B634" s="77" t="s">
        <x:v>29</x:v>
      </x:c>
      <x:c r="C634" s="77" t="str">
        <x:f>IFERROR(VLOOKUP(B634,EPP!$B$7:$D$64,2,FALSE),"")</x:f>
        <x:v>GAFAS LENTE CLARO</x:v>
      </x:c>
      <x:c r="D634" s="77" t="str">
        <x:f>IFERROR(VLOOKUP(B634,EPP!$B$7:$D$64,3,FALSE),"")</x:f>
        <x:v>Unidad </x:v>
      </x:c>
      <x:c r="E634" s="76" t="s">
        <x:v>185</x:v>
      </x:c>
      <x:c r="F634" s="77">
        <x:v>1</x:v>
      </x:c>
    </x:row>
    <x:row r="635">
      <x:c r="A635" s="82">
        <x:v>46176</x:v>
      </x:c>
      <x:c r="B635" s="77" t="s">
        <x:v>50</x:v>
      </x:c>
      <x:c r="C635" s="77" t="str">
        <x:f>IFERROR(VLOOKUP(B635,EPP!$B$7:$D$64,2,FALSE),"")</x:f>
        <x:v>TAPABOCAS INDUSTRIAL NEGRO</x:v>
      </x:c>
      <x:c r="D635" s="77" t="str">
        <x:f>IFERROR(VLOOKUP(B635,EPP!$B$7:$D$64,3,FALSE),"")</x:f>
        <x:v>Unidad </x:v>
      </x:c>
      <x:c r="E635" s="77" t="s">
        <x:v>154</x:v>
      </x:c>
      <x:c r="F635" s="77">
        <x:v>1</x:v>
      </x:c>
    </x:row>
    <x:row r="636">
      <x:c r="A636" s="82">
        <x:v>46176</x:v>
      </x:c>
      <x:c r="B636" s="77" t="s">
        <x:v>86</x:v>
      </x:c>
      <x:c r="C636" s="77" t="str">
        <x:f>IFERROR(VLOOKUP(B636,EPP!$B$7:$D$64,2,FALSE),"")</x:f>
        <x:v>GUANTE KIM- NITRILO ARENADO T10</x:v>
      </x:c>
      <x:c r="D636" s="77" t="str">
        <x:f>IFERROR(VLOOKUP(B636,EPP!$B$7:$D$64,3,FALSE),"")</x:f>
        <x:v>Par</x:v>
      </x:c>
      <x:c r="E636" s="77" t="s">
        <x:v>150</x:v>
      </x:c>
      <x:c r="F636" s="77">
        <x:v>1</x:v>
      </x:c>
    </x:row>
    <x:row r="637">
      <x:c r="A637" s="82">
        <x:v>46176</x:v>
      </x:c>
      <x:c r="B637" s="77" t="s">
        <x:v>27</x:v>
      </x:c>
      <x:c r="C637" s="77" t="str">
        <x:f>IFERROR(VLOOKUP(B637,EPP!$B$7:$D$64,2,FALSE),"")</x:f>
        <x:v>GAFAS LENTE OSCURO</x:v>
      </x:c>
      <x:c r="D637" s="77" t="str">
        <x:f>IFERROR(VLOOKUP(B637,EPP!$B$7:$D$64,3,FALSE),"")</x:f>
        <x:v>Unidad </x:v>
      </x:c>
      <x:c r="E637" s="77" t="s">
        <x:v>147</x:v>
      </x:c>
      <x:c r="F637" s="77">
        <x:v>1</x:v>
      </x:c>
    </x:row>
    <x:row r="638">
      <x:c r="A638" s="82">
        <x:v>46179</x:v>
      </x:c>
      <x:c r="B638" s="77" t="s">
        <x:v>86</x:v>
      </x:c>
      <x:c r="C638" s="77" t="str">
        <x:f>IFERROR(VLOOKUP(B638,EPP!$B$7:$D$64,2,FALSE),"")</x:f>
        <x:v>GUANTE KIM- NITRILO ARENADO T10</x:v>
      </x:c>
      <x:c r="D638" s="77" t="str">
        <x:f>IFERROR(VLOOKUP(B638,EPP!$B$7:$D$64,3,FALSE),"")</x:f>
        <x:v>Par</x:v>
      </x:c>
      <x:c r="E638" s="77" t="s">
        <x:v>192</x:v>
      </x:c>
      <x:c r="F638" s="77">
        <x:v>1</x:v>
      </x:c>
    </x:row>
    <x:row r="639">
      <x:c r="A639" s="82">
        <x:v>46179</x:v>
      </x:c>
      <x:c r="B639" s="77" t="s">
        <x:v>52</x:v>
      </x:c>
      <x:c r="C639" s="77" t="str">
        <x:f>IFERROR(VLOOKUP(B639,EPP!$B$7:$D$64,2,FALSE),"")</x:f>
        <x:v>GUANTES DE NITRILO TL</x:v>
      </x:c>
      <x:c r="D639" s="77" t="str">
        <x:f>IFERROR(VLOOKUP(B639,EPP!$B$7:$D$64,3,FALSE),"")</x:f>
        <x:v>Par</x:v>
      </x:c>
      <x:c r="E639" s="77" t="s">
        <x:v>193</x:v>
      </x:c>
      <x:c r="F639" s="77">
        <x:v>1</x:v>
      </x:c>
    </x:row>
    <x:row r="640">
      <x:c r="A640" s="82">
        <x:v>46179</x:v>
      </x:c>
      <x:c r="B640" s="77" t="s">
        <x:v>48</x:v>
      </x:c>
      <x:c r="C640" s="77" t="str">
        <x:f>IFERROR(VLOOKUP(B640,EPP!$B$7:$D$64,2,FALSE),"")</x:f>
        <x:v>TAPABOCAS DESECHABLE</x:v>
      </x:c>
      <x:c r="D640" s="77" t="str">
        <x:f>IFERROR(VLOOKUP(B640,EPP!$B$7:$D$64,3,FALSE),"")</x:f>
        <x:v>Unidad </x:v>
      </x:c>
      <x:c r="E640" s="77" t="s">
        <x:v>194</x:v>
      </x:c>
      <x:c r="F640" s="77">
        <x:v>1</x:v>
      </x:c>
    </x:row>
    <x:row r="641">
      <x:c r="A641" s="82">
        <x:v>46179</x:v>
      </x:c>
      <x:c r="B641" s="77" t="s">
        <x:v>86</x:v>
      </x:c>
      <x:c r="C641" s="77" t="str">
        <x:f>IFERROR(VLOOKUP(B641,EPP!$B$7:$D$64,2,FALSE),"")</x:f>
        <x:v>GUANTE KIM- NITRILO ARENADO T10</x:v>
      </x:c>
      <x:c r="D641" s="77" t="str">
        <x:f>IFERROR(VLOOKUP(B641,EPP!$B$7:$D$64,3,FALSE),"")</x:f>
        <x:v>Par</x:v>
      </x:c>
      <x:c r="E641" s="77" t="s">
        <x:v>195</x:v>
      </x:c>
      <x:c r="F641" s="77">
        <x:v>1</x:v>
      </x:c>
    </x:row>
    <x:row r="642">
      <x:c r="A642" s="82">
        <x:v>46179</x:v>
      </x:c>
      <x:c r="B642" s="77" t="s">
        <x:v>86</x:v>
      </x:c>
      <x:c r="C642" s="77" t="str">
        <x:f>IFERROR(VLOOKUP(B642,EPP!$B$7:$D$64,2,FALSE),"")</x:f>
        <x:v>GUANTE KIM- NITRILO ARENADO T10</x:v>
      </x:c>
      <x:c r="D642" s="77" t="str">
        <x:f>IFERROR(VLOOKUP(B642,EPP!$B$7:$D$64,3,FALSE),"")</x:f>
        <x:v>Par</x:v>
      </x:c>
      <x:c r="E642" s="77" t="s">
        <x:v>196</x:v>
      </x:c>
      <x:c r="F642" s="77">
        <x:v>1</x:v>
      </x:c>
    </x:row>
    <x:row r="643">
      <x:c r="A643" s="82">
        <x:v>46180</x:v>
      </x:c>
      <x:c r="B643" s="77" t="s">
        <x:v>52</x:v>
      </x:c>
      <x:c r="C643" s="77" t="str">
        <x:f>IFERROR(VLOOKUP(B643,EPP!$B$7:$D$64,2,FALSE),"")</x:f>
        <x:v>GUANTES DE NITRILO TL</x:v>
      </x:c>
      <x:c r="D643" s="77" t="str">
        <x:f>IFERROR(VLOOKUP(B643,EPP!$B$7:$D$64,3,FALSE),"")</x:f>
        <x:v>Par</x:v>
      </x:c>
      <x:c r="E643" s="77" t="s">
        <x:v>197</x:v>
      </x:c>
      <x:c r="F643" s="77">
        <x:v>1</x:v>
      </x:c>
    </x:row>
    <x:row r="644">
      <x:c r="A644" s="82">
        <x:v>46180</x:v>
      </x:c>
      <x:c r="B644" s="77" t="s">
        <x:v>52</x:v>
      </x:c>
      <x:c r="C644" s="77" t="str">
        <x:f>IFERROR(VLOOKUP(B644,EPP!$B$7:$D$64,2,FALSE),"")</x:f>
        <x:v>GUANTES DE NITRILO TL</x:v>
      </x:c>
      <x:c r="D644" s="77" t="str">
        <x:f>IFERROR(VLOOKUP(B644,EPP!$B$7:$D$64,3,FALSE),"")</x:f>
        <x:v>Par</x:v>
      </x:c>
      <x:c r="E644" s="77" t="s">
        <x:v>198</x:v>
      </x:c>
      <x:c r="F644" s="77">
        <x:v>1</x:v>
      </x:c>
    </x:row>
    <x:row r="645">
      <x:c r="A645" s="82">
        <x:v>46181</x:v>
      </x:c>
      <x:c r="B645" s="77" t="s">
        <x:v>52</x:v>
      </x:c>
      <x:c r="C645" s="77" t="str">
        <x:f>IFERROR(VLOOKUP(B645,EPP!$B$7:$D$64,2,FALSE),"")</x:f>
        <x:v>GUANTES DE NITRILO TL</x:v>
      </x:c>
      <x:c r="D645" s="77" t="str">
        <x:f>IFERROR(VLOOKUP(B645,EPP!$B$7:$D$64,3,FALSE),"")</x:f>
        <x:v>Par</x:v>
      </x:c>
      <x:c r="E645" s="77" t="s">
        <x:v>199</x:v>
      </x:c>
      <x:c r="F645" s="77">
        <x:v>1</x:v>
      </x:c>
    </x:row>
    <x:row r="646">
      <x:c r="A646" s="82">
        <x:v>46182</x:v>
      </x:c>
      <x:c r="B646" s="77" t="s">
        <x:v>52</x:v>
      </x:c>
      <x:c r="C646" s="77" t="str">
        <x:f>IFERROR(VLOOKUP(B646,EPP!$B$7:$D$64,2,FALSE),"")</x:f>
        <x:v>GUANTES DE NITRILO TL</x:v>
      </x:c>
      <x:c r="D646" s="77" t="str">
        <x:f>IFERROR(VLOOKUP(B646,EPP!$B$7:$D$64,3,FALSE),"")</x:f>
        <x:v>Par</x:v>
      </x:c>
      <x:c r="E646" s="77" t="s">
        <x:v>200</x:v>
      </x:c>
      <x:c r="F646" s="77">
        <x:v>1</x:v>
      </x:c>
    </x:row>
    <x:row r="647">
      <x:c r="A647" s="82">
        <x:v>46182</x:v>
      </x:c>
      <x:c r="B647" s="77" t="s">
        <x:v>52</x:v>
      </x:c>
      <x:c r="C647" s="77" t="str">
        <x:f>IFERROR(VLOOKUP(B647,EPP!$B$7:$D$64,2,FALSE),"")</x:f>
        <x:v>GUANTES DE NITRILO TL</x:v>
      </x:c>
      <x:c r="D647" s="77" t="str">
        <x:f>IFERROR(VLOOKUP(B647,EPP!$B$7:$D$64,3,FALSE),"")</x:f>
        <x:v>Par</x:v>
      </x:c>
      <x:c r="E647" s="77" t="s">
        <x:v>199</x:v>
      </x:c>
      <x:c r="F647" s="77">
        <x:v>1</x:v>
      </x:c>
    </x:row>
    <x:row r="648" ht="30.75" customHeight="1">
      <x:c r="A648" s="82">
        <x:v>46183</x:v>
      </x:c>
      <x:c r="B648" s="77" t="s">
        <x:v>52</x:v>
      </x:c>
      <x:c r="C648" s="77" t="str">
        <x:f>IFERROR(VLOOKUP(B648,EPP!$B$7:$D$64,2,FALSE),"")</x:f>
        <x:v>GUANTES DE NITRILO TL</x:v>
      </x:c>
      <x:c r="D648" s="77" t="str">
        <x:f>IFERROR(VLOOKUP(B648,EPP!$B$7:$D$64,3,FALSE),"")</x:f>
        <x:v>Par</x:v>
      </x:c>
      <x:c r="E648" s="77" t="s">
        <x:v>201</x:v>
      </x:c>
      <x:c r="F648" s="77">
        <x:v>2</x:v>
      </x:c>
    </x:row>
    <x:row r="649">
      <x:c r="A649" s="82">
        <x:v>46185</x:v>
      </x:c>
      <x:c r="B649" s="77" t="s">
        <x:v>52</x:v>
      </x:c>
      <x:c r="C649" s="77" t="str">
        <x:f>IFERROR(VLOOKUP(B649,EPP!$B$7:$D$64,2,FALSE),"")</x:f>
        <x:v>GUANTES DE NITRILO TL</x:v>
      </x:c>
      <x:c r="D649" s="77" t="str">
        <x:f>IFERROR(VLOOKUP(B649,EPP!$B$7:$D$64,3,FALSE),"")</x:f>
        <x:v>Par</x:v>
      </x:c>
      <x:c r="E649" s="77" t="s">
        <x:v>202</x:v>
      </x:c>
      <x:c r="F649" s="77">
        <x:v>2</x:v>
      </x:c>
    </x:row>
    <x:row r="650">
      <x:c r="A650" s="82">
        <x:v>46186</x:v>
      </x:c>
      <x:c r="B650" s="77" t="s">
        <x:v>74</x:v>
      </x:c>
      <x:c r="C650" s="77" t="str">
        <x:f>IFERROR(VLOOKUP(B650,EPP!$B$7:$D$64,2,FALSE),"")</x:f>
        <x:v>GUANTE ANTICORTE T9</x:v>
      </x:c>
      <x:c r="D650" s="77" t="str">
        <x:f>IFERROR(VLOOKUP(B650,EPP!$B$7:$D$64,3,FALSE),"")</x:f>
        <x:v>Par</x:v>
      </x:c>
      <x:c r="E650" s="77" t="s">
        <x:v>203</x:v>
      </x:c>
      <x:c r="F650" s="77">
        <x:v>1</x:v>
      </x:c>
    </x:row>
    <x:row r="651">
      <x:c r="A651" s="82">
        <x:v>46187</x:v>
      </x:c>
      <x:c r="B651" s="77" t="s">
        <x:v>50</x:v>
      </x:c>
      <x:c r="C651" s="77" t="str">
        <x:f>IFERROR(VLOOKUP(B651,EPP!$B$7:$D$64,2,FALSE),"")</x:f>
        <x:v>TAPABOCAS INDUSTRIAL NEGRO</x:v>
      </x:c>
      <x:c r="D651" s="77" t="str">
        <x:f>IFERROR(VLOOKUP(B651,EPP!$B$7:$D$64,3,FALSE),"")</x:f>
        <x:v>Unidad </x:v>
      </x:c>
      <x:c r="E651" s="77" t="s">
        <x:v>204</x:v>
      </x:c>
      <x:c r="F651" s="77">
        <x:v>1</x:v>
      </x:c>
    </x:row>
    <x:row r="652">
      <x:c r="A652" s="82">
        <x:v>46187</x:v>
      </x:c>
      <x:c r="B652" s="77" t="s">
        <x:v>50</x:v>
      </x:c>
      <x:c r="C652" s="77" t="str">
        <x:f>IFERROR(VLOOKUP(B652,EPP!$B$7:$D$64,2,FALSE),"")</x:f>
        <x:v>TAPABOCAS INDUSTRIAL NEGRO</x:v>
      </x:c>
      <x:c r="D652" s="77" t="str">
        <x:f>IFERROR(VLOOKUP(B652,EPP!$B$7:$D$64,3,FALSE),"")</x:f>
        <x:v>Unidad </x:v>
      </x:c>
      <x:c r="E652" s="77" t="s">
        <x:v>199</x:v>
      </x:c>
      <x:c r="F652" s="77">
        <x:v>1</x:v>
      </x:c>
    </x:row>
    <x:row r="653">
      <x:c r="A653" s="82">
        <x:v>46187</x:v>
      </x:c>
      <x:c r="B653" s="77" t="s">
        <x:v>60</x:v>
      </x:c>
      <x:c r="C653" s="77" t="str">
        <x:f>IFERROR(VLOOKUP(B653,EPP!$B$7:$D$64,2,FALSE),"")</x:f>
        <x:v>GUANTE INDUSTRIAL NITRILO CORTO T9</x:v>
      </x:c>
      <x:c r="D653" s="77" t="str">
        <x:f>IFERROR(VLOOKUP(B653,EPP!$B$7:$D$64,3,FALSE),"")</x:f>
        <x:v>Par</x:v>
      </x:c>
      <x:c r="E653" s="77" t="s">
        <x:v>199</x:v>
      </x:c>
      <x:c r="F653" s="77">
        <x:v>1</x:v>
      </x:c>
    </x:row>
    <x:row r="654">
      <x:c r="A654" s="82">
        <x:v>46187</x:v>
      </x:c>
      <x:c r="B654" s="77" t="s">
        <x:v>60</x:v>
      </x:c>
      <x:c r="C654" s="77" t="str">
        <x:f>IFERROR(VLOOKUP(B654,EPP!$B$7:$D$64,2,FALSE),"")</x:f>
        <x:v>GUANTE INDUSTRIAL NITRILO CORTO T9</x:v>
      </x:c>
      <x:c r="D654" s="77" t="str">
        <x:f>IFERROR(VLOOKUP(B654,EPP!$B$7:$D$64,3,FALSE),"")</x:f>
        <x:v>Par</x:v>
      </x:c>
      <x:c r="E654" s="77" t="s">
        <x:v>205</x:v>
      </x:c>
      <x:c r="F654" s="77">
        <x:v>1</x:v>
      </x:c>
    </x:row>
    <x:row r="655">
      <x:c r="A655" s="82">
        <x:v>46187</x:v>
      </x:c>
      <x:c r="B655" s="77" t="s">
        <x:v>78</x:v>
      </x:c>
      <x:c r="C655" s="77" t="str">
        <x:f>IFERROR(VLOOKUP(B655,EPP!$B$7:$D$64,2,FALSE),"")</x:f>
        <x:v>GUANTE KIM- NITRILO ARENADO T9</x:v>
      </x:c>
      <x:c r="D655" s="77" t="str">
        <x:f>IFERROR(VLOOKUP(B655,EPP!$B$7:$D$64,3,FALSE),"")</x:f>
        <x:v>Par</x:v>
      </x:c>
      <x:c r="E655" s="77" t="s">
        <x:v>206</x:v>
      </x:c>
      <x:c r="F655" s="77">
        <x:v>1</x:v>
      </x:c>
    </x:row>
    <x:row r="656">
      <x:c r="A656" s="82">
        <x:v>46187</x:v>
      </x:c>
      <x:c r="B656" s="77" t="s">
        <x:v>27</x:v>
      </x:c>
      <x:c r="C656" s="77" t="str">
        <x:f>IFERROR(VLOOKUP(B656,EPP!$B$7:$D$64,2,FALSE),"")</x:f>
        <x:v>GAFAS LENTE OSCURO</x:v>
      </x:c>
      <x:c r="D656" s="77" t="str">
        <x:f>IFERROR(VLOOKUP(B656,EPP!$B$7:$D$64,3,FALSE),"")</x:f>
        <x:v>Unidad </x:v>
      </x:c>
      <x:c r="E656" s="77" t="s">
        <x:v>206</x:v>
      </x:c>
      <x:c r="F656" s="77">
        <x:v>1</x:v>
      </x:c>
    </x:row>
    <x:row r="657">
      <x:c r="A657" s="82">
        <x:v>46188</x:v>
      </x:c>
      <x:c r="B657" s="77" t="s">
        <x:v>60</x:v>
      </x:c>
      <x:c r="C657" s="77" t="str">
        <x:f>IFERROR(VLOOKUP(B657,EPP!$B$7:$D$64,2,FALSE),"")</x:f>
        <x:v>GUANTE INDUSTRIAL NITRILO CORTO T9</x:v>
      </x:c>
      <x:c r="D657" s="77" t="str">
        <x:f>IFERROR(VLOOKUP(B657,EPP!$B$7:$D$64,3,FALSE),"")</x:f>
        <x:v>Par</x:v>
      </x:c>
      <x:c r="E657" s="77" t="s">
        <x:v>207</x:v>
      </x:c>
      <x:c r="F657" s="77">
        <x:v>1</x:v>
      </x:c>
    </x:row>
    <x:row r="658">
      <x:c r="A658" s="82">
        <x:v>46188</x:v>
      </x:c>
      <x:c r="B658" s="77" t="s">
        <x:v>78</x:v>
      </x:c>
      <x:c r="C658" s="77" t="str">
        <x:f>IFERROR(VLOOKUP(B658,EPP!$B$7:$D$64,2,FALSE),"")</x:f>
        <x:v>GUANTE KIM- NITRILO ARENADO T9</x:v>
      </x:c>
      <x:c r="D658" s="77" t="str">
        <x:f>IFERROR(VLOOKUP(B658,EPP!$B$7:$D$64,3,FALSE),"")</x:f>
        <x:v>Par</x:v>
      </x:c>
      <x:c r="E658" s="77" t="s">
        <x:v>207</x:v>
      </x:c>
      <x:c r="F658" s="77">
        <x:v>1</x:v>
      </x:c>
    </x:row>
    <x:row r="659">
      <x:c r="A659" s="82">
        <x:v>46188</x:v>
      </x:c>
      <x:c r="B659" s="77" t="s">
        <x:v>50</x:v>
      </x:c>
      <x:c r="C659" s="77" t="str">
        <x:f>IFERROR(VLOOKUP(B659,EPP!$B$7:$D$64,2,FALSE),"")</x:f>
        <x:v>TAPABOCAS INDUSTRIAL NEGRO</x:v>
      </x:c>
      <x:c r="D659" s="77" t="str">
        <x:f>IFERROR(VLOOKUP(B659,EPP!$B$7:$D$64,3,FALSE),"")</x:f>
        <x:v>Unidad </x:v>
      </x:c>
      <x:c r="E659" s="77" t="s">
        <x:v>199</x:v>
      </x:c>
      <x:c r="F659" s="77">
        <x:v>1</x:v>
      </x:c>
    </x:row>
    <x:row r="660">
      <x:c r="A660" s="82">
        <x:v>46188</x:v>
      </x:c>
      <x:c r="B660" s="77" t="s">
        <x:v>52</x:v>
      </x:c>
      <x:c r="C660" s="77" t="str">
        <x:f>IFERROR(VLOOKUP(B660,EPP!$B$7:$D$64,2,FALSE),"")</x:f>
        <x:v>GUANTES DE NITRILO TL</x:v>
      </x:c>
      <x:c r="D660" s="77" t="str">
        <x:f>IFERROR(VLOOKUP(B660,EPP!$B$7:$D$64,3,FALSE),"")</x:f>
        <x:v>Par</x:v>
      </x:c>
      <x:c r="E660" s="77" t="s">
        <x:v>193</x:v>
      </x:c>
      <x:c r="F660" s="77">
        <x:v>1</x:v>
      </x:c>
    </x:row>
    <x:row r="661">
      <x:c r="A661" s="82">
        <x:v>46189</x:v>
      </x:c>
      <x:c r="B661" s="77" t="s">
        <x:v>48</x:v>
      </x:c>
      <x:c r="C661" s="77" t="str">
        <x:f>IFERROR(VLOOKUP(B661,EPP!$B$7:$D$64,2,FALSE),"")</x:f>
        <x:v>TAPABOCAS DESECHABLE</x:v>
      </x:c>
      <x:c r="D661" s="77" t="str">
        <x:f>IFERROR(VLOOKUP(B661,EPP!$B$7:$D$64,3,FALSE),"")</x:f>
        <x:v>Unidad </x:v>
      </x:c>
      <x:c r="E661" s="77" t="s">
        <x:v>200</x:v>
      </x:c>
      <x:c r="F661" s="77">
        <x:v>1</x:v>
      </x:c>
    </x:row>
    <x:row r="662">
      <x:c r="A662" s="82">
        <x:v>46189</x:v>
      </x:c>
      <x:c r="B662" s="77" t="s">
        <x:v>52</x:v>
      </x:c>
      <x:c r="C662" s="77" t="str">
        <x:f>IFERROR(VLOOKUP(B662,EPP!$B$7:$D$64,2,FALSE),"")</x:f>
        <x:v>GUANTES DE NITRILO TL</x:v>
      </x:c>
      <x:c r="D662" s="77" t="str">
        <x:f>IFERROR(VLOOKUP(B662,EPP!$B$7:$D$64,3,FALSE),"")</x:f>
        <x:v>Par</x:v>
      </x:c>
      <x:c r="E662" s="77" t="s">
        <x:v>199</x:v>
      </x:c>
      <x:c r="F662" s="77">
        <x:v>1</x:v>
      </x:c>
    </x:row>
    <x:row r="663">
      <x:c r="A663" s="82">
        <x:v>46189</x:v>
      </x:c>
      <x:c r="B663" s="77" t="s">
        <x:v>29</x:v>
      </x:c>
      <x:c r="C663" s="77" t="str">
        <x:f>IFERROR(VLOOKUP(B663,EPP!$B$7:$D$64,2,FALSE),"")</x:f>
        <x:v>GAFAS LENTE CLARO</x:v>
      </x:c>
      <x:c r="D663" s="77" t="str">
        <x:f>IFERROR(VLOOKUP(B663,EPP!$B$7:$D$64,3,FALSE),"")</x:f>
        <x:v>Unidad </x:v>
      </x:c>
      <x:c r="E663" s="77" t="s">
        <x:v>208</x:v>
      </x:c>
      <x:c r="F663" s="77">
        <x:v>1</x:v>
      </x:c>
    </x:row>
    <x:row r="664">
      <x:c r="A664" s="82">
        <x:v>46189</x:v>
      </x:c>
      <x:c r="B664" s="77" t="s">
        <x:v>50</x:v>
      </x:c>
      <x:c r="C664" s="77" t="str">
        <x:f>IFERROR(VLOOKUP(B664,EPP!$B$7:$D$64,2,FALSE),"")</x:f>
        <x:v>TAPABOCAS INDUSTRIAL NEGRO</x:v>
      </x:c>
      <x:c r="D664" s="77" t="str">
        <x:f>IFERROR(VLOOKUP(B664,EPP!$B$7:$D$64,3,FALSE),"")</x:f>
        <x:v>Unidad </x:v>
      </x:c>
      <x:c r="E664" s="77" t="s">
        <x:v>208</x:v>
      </x:c>
      <x:c r="F664" s="77">
        <x:v>1</x:v>
      </x:c>
    </x:row>
    <x:row r="665">
      <x:c r="A665" s="82">
        <x:v>46190</x:v>
      </x:c>
      <x:c r="B665" s="77" t="s">
        <x:v>52</x:v>
      </x:c>
      <x:c r="C665" s="77" t="str">
        <x:f>IFERROR(VLOOKUP(B665,EPP!$B$7:$D$64,2,FALSE),"")</x:f>
        <x:v>GUANTES DE NITRILO TL</x:v>
      </x:c>
      <x:c r="D665" s="77" t="str">
        <x:f>IFERROR(VLOOKUP(B665,EPP!$B$7:$D$64,3,FALSE),"")</x:f>
        <x:v>Par</x:v>
      </x:c>
      <x:c r="E665" s="77" t="s">
        <x:v>209</x:v>
      </x:c>
      <x:c r="F665" s="77">
        <x:v>1</x:v>
      </x:c>
    </x:row>
    <x:row r="666">
      <x:c r="A666" s="82">
        <x:v>46191</x:v>
      </x:c>
      <x:c r="B666" s="77" t="s">
        <x:v>37</x:v>
      </x:c>
      <x:c r="C666" s="77" t="str">
        <x:f>IFERROR(VLOOKUP(B666,EPP!$B$7:$D$64,2,FALSE),"")</x:f>
        <x:v>VISOR  MALLA GUADAÑA</x:v>
      </x:c>
      <x:c r="D666" s="77" t="str">
        <x:f>IFERROR(VLOOKUP(B666,EPP!$B$7:$D$64,3,FALSE),"")</x:f>
        <x:v>Unidad </x:v>
      </x:c>
      <x:c r="E666" s="77" t="s">
        <x:v>198</x:v>
      </x:c>
      <x:c r="F666" s="77">
        <x:v>1</x:v>
      </x:c>
    </x:row>
    <x:row r="667">
      <x:c r="A667" s="82">
        <x:v>46191</x:v>
      </x:c>
      <x:c r="B667" s="77" t="s">
        <x:v>48</x:v>
      </x:c>
      <x:c r="C667" s="77" t="str">
        <x:f>IFERROR(VLOOKUP(B667,EPP!$B$7:$D$64,2,FALSE),"")</x:f>
        <x:v>TAPABOCAS DESECHABLE</x:v>
      </x:c>
      <x:c r="D667" s="77" t="str">
        <x:f>IFERROR(VLOOKUP(B667,EPP!$B$7:$D$64,3,FALSE),"")</x:f>
        <x:v>Unidad </x:v>
      </x:c>
      <x:c r="E667" s="77" t="s">
        <x:v>200</x:v>
      </x:c>
      <x:c r="F667" s="77">
        <x:v>1</x:v>
      </x:c>
    </x:row>
    <x:row r="668">
      <x:c r="A668" s="82">
        <x:v>46192</x:v>
      </x:c>
      <x:c r="B668" s="77" t="s">
        <x:v>50</x:v>
      </x:c>
      <x:c r="C668" s="77" t="str">
        <x:f>IFERROR(VLOOKUP(B668,EPP!$B$7:$D$64,2,FALSE),"")</x:f>
        <x:v>TAPABOCAS INDUSTRIAL NEGRO</x:v>
      </x:c>
      <x:c r="D668" s="77" t="str">
        <x:f>IFERROR(VLOOKUP(B668,EPP!$B$7:$D$64,3,FALSE),"")</x:f>
        <x:v>Unidad </x:v>
      </x:c>
      <x:c r="E668" s="77" t="s">
        <x:v>210</x:v>
      </x:c>
      <x:c r="F668" s="77">
        <x:v>2</x:v>
      </x:c>
    </x:row>
    <x:row r="669">
      <x:c r="A669" s="82">
        <x:v>46193</x:v>
      </x:c>
      <x:c r="B669" s="77" t="s">
        <x:v>50</x:v>
      </x:c>
      <x:c r="C669" s="77" t="str">
        <x:f>IFERROR(VLOOKUP(B669,EPP!$B$7:$D$64,2,FALSE),"")</x:f>
        <x:v>TAPABOCAS INDUSTRIAL NEGRO</x:v>
      </x:c>
      <x:c r="D669" s="77" t="str">
        <x:f>IFERROR(VLOOKUP(B669,EPP!$B$7:$D$64,3,FALSE),"")</x:f>
        <x:v>Unidad </x:v>
      </x:c>
      <x:c r="E669" s="77" t="s">
        <x:v>200</x:v>
      </x:c>
      <x:c r="F669" s="77">
        <x:v>1</x:v>
      </x:c>
    </x:row>
    <x:row r="670">
      <x:c r="A670" s="82">
        <x:v>46193</x:v>
      </x:c>
      <x:c r="B670" s="77" t="s">
        <x:v>78</x:v>
      </x:c>
      <x:c r="C670" s="77" t="str">
        <x:f>IFERROR(VLOOKUP(B670,EPP!$B$7:$D$64,2,FALSE),"")</x:f>
        <x:v>GUANTE KIM- NITRILO ARENADO T9</x:v>
      </x:c>
      <x:c r="D670" s="77" t="str">
        <x:f>IFERROR(VLOOKUP(B670,EPP!$B$7:$D$64,3,FALSE),"")</x:f>
        <x:v>Par</x:v>
      </x:c>
      <x:c r="E670" s="77" t="s">
        <x:v>197</x:v>
      </x:c>
      <x:c r="F670" s="77">
        <x:v>1</x:v>
      </x:c>
    </x:row>
    <x:row r="671">
      <x:c r="A671" s="82">
        <x:v>46194</x:v>
      </x:c>
      <x:c r="B671" s="77" t="s">
        <x:v>50</x:v>
      </x:c>
      <x:c r="C671" s="77" t="str">
        <x:f>IFERROR(VLOOKUP(B671,EPP!$B$7:$D$64,2,FALSE),"")</x:f>
        <x:v>TAPABOCAS INDUSTRIAL NEGRO</x:v>
      </x:c>
      <x:c r="D671" s="77" t="str">
        <x:f>IFERROR(VLOOKUP(B671,EPP!$B$7:$D$64,3,FALSE),"")</x:f>
        <x:v>Unidad </x:v>
      </x:c>
      <x:c r="E671" s="77" t="s">
        <x:v>211</x:v>
      </x:c>
      <x:c r="F671" s="77">
        <x:v>1</x:v>
      </x:c>
    </x:row>
    <x:row r="672">
      <x:c r="A672" s="82">
        <x:v>46194</x:v>
      </x:c>
      <x:c r="B672" s="77" t="s">
        <x:v>50</x:v>
      </x:c>
      <x:c r="C672" s="77" t="str">
        <x:f>IFERROR(VLOOKUP(B672,EPP!$B$7:$D$64,2,FALSE),"")</x:f>
        <x:v>TAPABOCAS INDUSTRIAL NEGRO</x:v>
      </x:c>
      <x:c r="D672" s="77" t="str">
        <x:f>IFERROR(VLOOKUP(B672,EPP!$B$7:$D$64,3,FALSE),"")</x:f>
        <x:v>Unidad </x:v>
      </x:c>
      <x:c r="E672" s="77" t="s">
        <x:v>199</x:v>
      </x:c>
      <x:c r="F672" s="77">
        <x:v>1</x:v>
      </x:c>
    </x:row>
    <x:row r="673">
      <x:c r="A673" s="82">
        <x:v>46195</x:v>
      </x:c>
      <x:c r="B673" s="77" t="s">
        <x:v>27</x:v>
      </x:c>
      <x:c r="C673" s="77" t="str">
        <x:f>IFERROR(VLOOKUP(B673,EPP!$B$7:$D$64,2,FALSE),"")</x:f>
        <x:v>GAFAS LENTE OSCURO</x:v>
      </x:c>
      <x:c r="D673" s="77" t="str">
        <x:f>IFERROR(VLOOKUP(B673,EPP!$B$7:$D$64,3,FALSE),"")</x:f>
        <x:v>Unidad </x:v>
      </x:c>
      <x:c r="E673" s="77" t="s">
        <x:v>207</x:v>
      </x:c>
      <x:c r="F673" s="77">
        <x:v>1</x:v>
      </x:c>
    </x:row>
    <x:row r="674">
      <x:c r="A674" s="82">
        <x:v>46196</x:v>
      </x:c>
      <x:c r="B674" s="77" t="s">
        <x:v>74</x:v>
      </x:c>
      <x:c r="C674" s="77" t="str">
        <x:f>IFERROR(VLOOKUP(B674,EPP!$B$7:$D$64,2,FALSE),"")</x:f>
        <x:v>GUANTE ANTICORTE T9</x:v>
      </x:c>
      <x:c r="D674" s="77" t="str">
        <x:f>IFERROR(VLOOKUP(B674,EPP!$B$7:$D$64,3,FALSE),"")</x:f>
        <x:v>Par</x:v>
      </x:c>
      <x:c r="E674" s="77" t="s">
        <x:v>200</x:v>
      </x:c>
      <x:c r="F674" s="77">
        <x:v>1</x:v>
      </x:c>
    </x:row>
    <x:row r="675">
      <x:c r="A675" s="82">
        <x:v>46196</x:v>
      </x:c>
      <x:c r="B675" s="77" t="s">
        <x:v>88</x:v>
      </x:c>
      <x:c r="C675" s="77" t="str">
        <x:f>IFERROR(VLOOKUP(B675,EPP!$B$7:$D$64,2,FALSE),"")</x:f>
        <x:v>PROTECTOR AUDITIVO INSERCIÓN</x:v>
      </x:c>
      <x:c r="D675" s="77" t="str">
        <x:f>IFERROR(VLOOKUP(B675,EPP!$B$7:$D$64,3,FALSE),"")</x:f>
        <x:v>Unidad </x:v>
      </x:c>
      <x:c r="E675" s="77" t="s">
        <x:v>192</x:v>
      </x:c>
      <x:c r="F675" s="77">
        <x:v>1</x:v>
      </x:c>
    </x:row>
    <x:row r="676">
      <x:c r="A676" s="82">
        <x:v>46196</x:v>
      </x:c>
      <x:c r="B676" s="77" t="s">
        <x:v>82</x:v>
      </x:c>
      <x:c r="C676" s="77" t="str">
        <x:f>IFERROR(VLOOKUP(B676,EPP!$B$7:$D$64,2,FALSE),"")</x:f>
        <x:v>GUANTE ANTIIMPACTO LINK XL</x:v>
      </x:c>
      <x:c r="D676" s="77" t="str">
        <x:f>IFERROR(VLOOKUP(B676,EPP!$B$7:$D$64,3,FALSE),"")</x:f>
        <x:v>Par</x:v>
      </x:c>
      <x:c r="E676" s="77" t="s">
        <x:v>203</x:v>
      </x:c>
      <x:c r="F676" s="77">
        <x:v>1</x:v>
      </x:c>
    </x:row>
    <x:row r="677">
      <x:c r="A677" s="82">
        <x:v>46196</x:v>
      </x:c>
      <x:c r="B677" s="77" t="s">
        <x:v>82</x:v>
      </x:c>
      <x:c r="C677" s="77" t="str">
        <x:f>IFERROR(VLOOKUP(B677,EPP!$B$7:$D$64,2,FALSE),"")</x:f>
        <x:v>GUANTE ANTIIMPACTO LINK XL</x:v>
      </x:c>
      <x:c r="D677" s="77" t="str">
        <x:f>IFERROR(VLOOKUP(B677,EPP!$B$7:$D$64,3,FALSE),"")</x:f>
        <x:v>Par</x:v>
      </x:c>
      <x:c r="E677" s="77" t="s">
        <x:v>212</x:v>
      </x:c>
      <x:c r="F677" s="77">
        <x:v>1</x:v>
      </x:c>
    </x:row>
    <x:row r="678">
      <x:c r="A678" s="82">
        <x:v>46196</x:v>
      </x:c>
      <x:c r="B678" s="77" t="s">
        <x:v>88</x:v>
      </x:c>
      <x:c r="C678" s="77" t="str">
        <x:f>IFERROR(VLOOKUP(B678,EPP!$B$7:$D$64,2,FALSE),"")</x:f>
        <x:v>PROTECTOR AUDITIVO INSERCIÓN</x:v>
      </x:c>
      <x:c r="D678" s="77" t="str">
        <x:f>IFERROR(VLOOKUP(B678,EPP!$B$7:$D$64,3,FALSE),"")</x:f>
        <x:v>Unidad </x:v>
      </x:c>
      <x:c r="E678" s="77" t="s">
        <x:v>213</x:v>
      </x:c>
      <x:c r="F678" s="77">
        <x:v>1</x:v>
      </x:c>
    </x:row>
    <x:row r="679">
      <x:c r="A679" s="82">
        <x:v>46196</x:v>
      </x:c>
      <x:c r="B679" s="77" t="s">
        <x:v>132</x:v>
      </x:c>
      <x:c r="C679" s="77" t="str">
        <x:f>IFERROR(VLOOKUP(B679,EPP!$B$7:$D$64,2,FALSE),"")</x:f>
        <x:v>CASQUETE PORTAVISOR AMARILLO</x:v>
      </x:c>
      <x:c r="D679" s="77" t="str">
        <x:f>IFERROR(VLOOKUP(B679,EPP!$B$7:$D$64,3,FALSE),"")</x:f>
        <x:v>Unidad </x:v>
      </x:c>
      <x:c r="E679" s="77" t="s">
        <x:v>214</x:v>
      </x:c>
      <x:c r="F679" s="77">
        <x:v>1</x:v>
      </x:c>
    </x:row>
    <x:row r="680">
      <x:c r="A680" s="82">
        <x:v>46196</x:v>
      </x:c>
      <x:c r="B680" s="77" t="s">
        <x:v>72</x:v>
      </x:c>
      <x:c r="C680" s="77" t="str">
        <x:f>IFERROR(VLOOKUP(B680,EPP!$B$7:$D$64,2,FALSE),"")</x:f>
        <x:v>GUANTE ANTIIMPACTO T9</x:v>
      </x:c>
      <x:c r="D680" s="77" t="str">
        <x:f>IFERROR(VLOOKUP(B680,EPP!$B$7:$D$64,3,FALSE),"")</x:f>
        <x:v>Par</x:v>
      </x:c>
      <x:c r="E680" s="77" t="s">
        <x:v>215</x:v>
      </x:c>
      <x:c r="F680" s="77">
        <x:v>1</x:v>
      </x:c>
    </x:row>
    <x:row r="681">
      <x:c r="A681" s="82">
        <x:v>46196</x:v>
      </x:c>
      <x:c r="B681" s="77" t="s">
        <x:v>48</x:v>
      </x:c>
      <x:c r="C681" s="77" t="str">
        <x:f>IFERROR(VLOOKUP(B681,EPP!$B$7:$D$64,2,FALSE),"")</x:f>
        <x:v>TAPABOCAS DESECHABLE</x:v>
      </x:c>
      <x:c r="D681" s="77" t="str">
        <x:f>IFERROR(VLOOKUP(B681,EPP!$B$7:$D$64,3,FALSE),"")</x:f>
        <x:v>Unidad </x:v>
      </x:c>
      <x:c r="E681" s="77" t="s">
        <x:v>194</x:v>
      </x:c>
      <x:c r="F681" s="77">
        <x:v>1</x:v>
      </x:c>
    </x:row>
    <x:row r="682">
      <x:c r="A682" s="82">
        <x:v>46196</x:v>
      </x:c>
      <x:c r="B682" s="77" t="s">
        <x:v>48</x:v>
      </x:c>
      <x:c r="C682" s="77" t="str">
        <x:f>IFERROR(VLOOKUP(B682,EPP!$B$7:$D$64,2,FALSE),"")</x:f>
        <x:v>TAPABOCAS DESECHABLE</x:v>
      </x:c>
      <x:c r="D682" s="77" t="str">
        <x:f>IFERROR(VLOOKUP(B682,EPP!$B$7:$D$64,3,FALSE),"")</x:f>
        <x:v>Unidad </x:v>
      </x:c>
      <x:c r="E682" s="77" t="s">
        <x:v>216</x:v>
      </x:c>
      <x:c r="F682" s="77">
        <x:v>1</x:v>
      </x:c>
    </x:row>
    <x:row r="683">
      <x:c r="A683" s="82">
        <x:v>46197</x:v>
      </x:c>
      <x:c r="B683" s="77" t="s">
        <x:v>88</x:v>
      </x:c>
      <x:c r="C683" s="77" t="str">
        <x:f>IFERROR(VLOOKUP(B683,EPP!$B$7:$D$64,2,FALSE),"")</x:f>
        <x:v>PROTECTOR AUDITIVO INSERCIÓN</x:v>
      </x:c>
      <x:c r="D683" s="77" t="str">
        <x:f>IFERROR(VLOOKUP(B683,EPP!$B$7:$D$64,3,FALSE),"")</x:f>
        <x:v>Unidad </x:v>
      </x:c>
      <x:c r="E683" s="77" t="s">
        <x:v>217</x:v>
      </x:c>
      <x:c r="F683" s="77">
        <x:v>2</x:v>
      </x:c>
    </x:row>
    <x:row r="684">
      <x:c r="A684" s="82">
        <x:v>46197</x:v>
      </x:c>
      <x:c r="B684" s="77" t="s">
        <x:v>48</x:v>
      </x:c>
      <x:c r="C684" s="77" t="str">
        <x:f>IFERROR(VLOOKUP(B684,EPP!$B$7:$D$64,2,FALSE),"")</x:f>
        <x:v>TAPABOCAS DESECHABLE</x:v>
      </x:c>
      <x:c r="D684" s="77" t="str">
        <x:f>IFERROR(VLOOKUP(B684,EPP!$B$7:$D$64,3,FALSE),"")</x:f>
        <x:v>Unidad </x:v>
      </x:c>
      <x:c r="E684" s="77" t="s">
        <x:v>218</x:v>
      </x:c>
      <x:c r="F684" s="77">
        <x:v>2</x:v>
      </x:c>
    </x:row>
    <x:row r="685">
      <x:c r="A685" s="82">
        <x:v>46198</x:v>
      </x:c>
      <x:c r="B685" s="77" t="s">
        <x:v>86</x:v>
      </x:c>
      <x:c r="C685" s="77" t="str">
        <x:f>IFERROR(VLOOKUP(B685,EPP!$B$7:$D$64,2,FALSE),"")</x:f>
        <x:v>GUANTE KIM- NITRILO ARENADO T10</x:v>
      </x:c>
      <x:c r="D685" s="77" t="str">
        <x:f>IFERROR(VLOOKUP(B685,EPP!$B$7:$D$64,3,FALSE),"")</x:f>
        <x:v>Par</x:v>
      </x:c>
      <x:c r="E685" s="77" t="s">
        <x:v>213</x:v>
      </x:c>
      <x:c r="F685" s="77">
        <x:v>1</x:v>
      </x:c>
    </x:row>
    <x:row r="686">
      <x:c r="A686" s="82">
        <x:v>46199</x:v>
      </x:c>
      <x:c r="B686" s="77" t="s">
        <x:v>50</x:v>
      </x:c>
      <x:c r="C686" s="77" t="str">
        <x:f>IFERROR(VLOOKUP(B686,EPP!$B$7:$D$64,2,FALSE),"")</x:f>
        <x:v>TAPABOCAS INDUSTRIAL NEGRO</x:v>
      </x:c>
      <x:c r="D686" s="77" t="str">
        <x:f>IFERROR(VLOOKUP(B686,EPP!$B$7:$D$64,3,FALSE),"")</x:f>
        <x:v>Unidad </x:v>
      </x:c>
      <x:c r="E686" s="77" t="s">
        <x:v>219</x:v>
      </x:c>
      <x:c r="F686" s="77">
        <x:v>1</x:v>
      </x:c>
    </x:row>
    <x:row r="687">
      <x:c r="A687" s="82">
        <x:v>46199</x:v>
      </x:c>
      <x:c r="B687" s="77" t="s">
        <x:v>50</x:v>
      </x:c>
      <x:c r="C687" s="77" t="str">
        <x:f>IFERROR(VLOOKUP(B687,EPP!$B$7:$D$64,2,FALSE),"")</x:f>
        <x:v>TAPABOCAS INDUSTRIAL NEGRO</x:v>
      </x:c>
      <x:c r="D687" s="77" t="str">
        <x:f>IFERROR(VLOOKUP(B687,EPP!$B$7:$D$64,3,FALSE),"")</x:f>
        <x:v>Unidad </x:v>
      </x:c>
      <x:c r="E687" s="77" t="s">
        <x:v>220</x:v>
      </x:c>
      <x:c r="F687" s="77">
        <x:v>1</x:v>
      </x:c>
    </x:row>
    <x:row r="688">
      <x:c r="A688" s="82">
        <x:v>46199</x:v>
      </x:c>
      <x:c r="B688" s="77" t="s">
        <x:v>50</x:v>
      </x:c>
      <x:c r="C688" s="77" t="str">
        <x:f>IFERROR(VLOOKUP(B688,EPP!$B$7:$D$64,2,FALSE),"")</x:f>
        <x:v>TAPABOCAS INDUSTRIAL NEGRO</x:v>
      </x:c>
      <x:c r="D688" s="77" t="str">
        <x:f>IFERROR(VLOOKUP(B688,EPP!$B$7:$D$64,3,FALSE),"")</x:f>
        <x:v>Unidad </x:v>
      </x:c>
      <x:c r="E688" s="77" t="s">
        <x:v>221</x:v>
      </x:c>
      <x:c r="F688" s="77">
        <x:v>1</x:v>
      </x:c>
    </x:row>
    <x:row r="689">
      <x:c r="A689" s="82">
        <x:v>46202</x:v>
      </x:c>
      <x:c r="B689" s="77" t="s">
        <x:v>64</x:v>
      </x:c>
      <x:c r="C689" s="77" t="str">
        <x:f>IFERROR(VLOOKUP(B689,EPP!$B$7:$D$64,2,FALSE),"")</x:f>
        <x:v>GUANTE INDUSTRIAL NITRILO LARGO T9</x:v>
      </x:c>
      <x:c r="D689" s="77" t="str">
        <x:f>IFERROR(VLOOKUP(B689,EPP!$B$7:$D$64,3,FALSE),"")</x:f>
        <x:v>Par</x:v>
      </x:c>
      <x:c r="E689" s="77" t="s">
        <x:v>222</x:v>
      </x:c>
      <x:c r="F689" s="77">
        <x:v>1</x:v>
      </x:c>
    </x:row>
    <x:row r="690">
      <x:c r="A690" s="82">
        <x:v>46203</x:v>
      </x:c>
      <x:c r="B690" s="77" t="s">
        <x:v>50</x:v>
      </x:c>
      <x:c r="C690" s="77" t="str">
        <x:f>IFERROR(VLOOKUP(B690,EPP!$B$7:$D$64,2,FALSE),"")</x:f>
        <x:v>TAPABOCAS INDUSTRIAL NEGRO</x:v>
      </x:c>
      <x:c r="D690" s="77" t="str">
        <x:f>IFERROR(VLOOKUP(B690,EPP!$B$7:$D$64,3,FALSE),"")</x:f>
        <x:v>Unidad </x:v>
      </x:c>
      <x:c r="E690" s="77" t="s">
        <x:v>223</x:v>
      </x:c>
      <x:c r="F690" s="77">
        <x:v>1</x:v>
      </x:c>
    </x:row>
    <x:row r="691">
      <x:c r="A691" s="89" t="n">
        <x:v>46204</x:v>
      </x:c>
      <x:c r="B691" s="90" t="str">
        <x:v>PR06</x:v>
      </x:c>
      <x:c r="C691" s="90" t="str">
        <x:f>IFERROR(VLOOKUP(B691,'EPP'!$B$7:$D$64,2,FALSE),"")</x:f>
        <x:v>TAPABOCAS INDUSTRIAL NEGRO</x:v>
      </x:c>
      <x:c r="D691" s="90" t="str">
        <x:f>IFERROR(VLOOKUP(B691,'EPP'!$B$7:$D$64,3,FALSE),"")</x:f>
        <x:v>Unidad </x:v>
      </x:c>
      <x:c r="E691" s="90" t="str">
        <x:v>weimar</x:v>
      </x:c>
      <x:c r="F691" s="90" t="n">
        <x:v>1</x:v>
      </x:c>
    </x:row>
    <x:row r="692">
      <x:c r="A692" s="89" t="n">
        <x:v>46204</x:v>
      </x:c>
      <x:c r="B692" s="90" t="str">
        <x:v>PR06</x:v>
      </x:c>
      <x:c r="C692" s="90" t="str">
        <x:f>IFERROR(VLOOKUP(B692,'EPP'!$B$7:$D$64,2,FALSE),"")</x:f>
        <x:v>TAPABOCAS INDUSTRIAL NEGRO</x:v>
      </x:c>
      <x:c r="D692" s="90" t="str">
        <x:f>IFERROR(VLOOKUP(B692,'EPP'!$B$7:$D$64,3,FALSE),"")</x:f>
        <x:v>Unidad </x:v>
      </x:c>
      <x:c r="E692" s="90" t="str">
        <x:v>Gustavo Perez</x:v>
      </x:c>
      <x:c r="F692" s="90" t="n">
        <x:v>1</x:v>
      </x:c>
    </x:row>
    <x:row r="693">
      <x:c r="A693" s="89" t="n">
        <x:v>46204</x:v>
      </x:c>
      <x:c r="B693" s="90" t="str">
        <x:v>PM02</x:v>
      </x:c>
      <x:c r="C693" s="90" t="str">
        <x:f>IFERROR(VLOOKUP(B693,'EPP'!$B$7:$D$64,2,FALSE),"")</x:f>
        <x:v>GUANTE LARGO USO VETERINARIO</x:v>
      </x:c>
      <x:c r="D693" s="90" t="str">
        <x:f>IFERROR(VLOOKUP(B693,'EPP'!$B$7:$D$64,3,FALSE),"")</x:f>
        <x:v>Par</x:v>
      </x:c>
      <x:c r="E693" s="90" t="str">
        <x:v>Gustavo Perez</x:v>
      </x:c>
      <x:c r="F693" s="90" t="n">
        <x:v>1</x:v>
      </x:c>
    </x:row>
    <x:row r="694">
      <x:c r="A694" s="89" t="n">
        <x:v>46204</x:v>
      </x:c>
      <x:c r="B694" s="90" t="str">
        <x:v>PM02</x:v>
      </x:c>
      <x:c r="C694" s="90" t="str">
        <x:f>IFERROR(VLOOKUP(B694,'EPP'!$B$7:$D$64,2,FALSE),"")</x:f>
        <x:v>GUANTE LARGO USO VETERINARIO</x:v>
      </x:c>
      <x:c r="D694" s="90" t="str">
        <x:f>IFERROR(VLOOKUP(B694,'EPP'!$B$7:$D$64,3,FALSE),"")</x:f>
        <x:v>Par</x:v>
      </x:c>
      <x:c r="E694" s="90" t="str">
        <x:v>weimar</x:v>
      </x:c>
      <x:c r="F694" s="90" t="n">
        <x:v>1</x:v>
      </x:c>
    </x:row>
    <x:row r="695">
      <x:c r="A695" s="89" t="n">
        <x:v>46204</x:v>
      </x:c>
      <x:c r="B695" s="90" t="str">
        <x:v>PR02</x:v>
      </x:c>
      <x:c r="C695" s="90" t="str">
        <x:f>IFERROR(VLOOKUP(B695,'EPP'!$B$7:$D$64,2,FALSE),"")</x:f>
        <x:v>FILTROS PARA MASCARA 6003</x:v>
      </x:c>
      <x:c r="D695" s="90" t="str">
        <x:f>IFERROR(VLOOKUP(B695,'EPP'!$B$7:$D$64,3,FALSE),"")</x:f>
        <x:v>Par</x:v>
      </x:c>
      <x:c r="E695" s="90" t="str">
        <x:v>Ferney gomez</x:v>
      </x:c>
      <x:c r="F695" s="90" t="n">
        <x:v>1</x:v>
      </x:c>
    </x:row>
    <x:row r="696">
      <x:c r="A696" s="89" t="n">
        <x:v>46207</x:v>
      </x:c>
      <x:c r="B696" s="90" t="str">
        <x:v>PR06</x:v>
      </x:c>
      <x:c r="C696" s="90" t="str">
        <x:f>IFERROR(VLOOKUP(B696,'EPP'!$B$7:$D$64,2,FALSE),"")</x:f>
        <x:v>TAPABOCAS INDUSTRIAL NEGRO</x:v>
      </x:c>
      <x:c r="D696" s="90" t="str">
        <x:f>IFERROR(VLOOKUP(B696,'EPP'!$B$7:$D$64,3,FALSE),"")</x:f>
        <x:v>Unidad </x:v>
      </x:c>
      <x:c r="E696" s="90" t="str">
        <x:v>Fabian</x:v>
      </x:c>
      <x:c r="F696" s="90" t="n">
        <x:v>1</x:v>
      </x:c>
    </x:row>
    <x:row r="697">
      <x:c r="A697" s="89" t="n">
        <x:v>46209</x:v>
      </x:c>
      <x:c r="B697" s="90" t="str">
        <x:v>PM14</x:v>
      </x:c>
      <x:c r="C697" s="90" t="str">
        <x:f>IFERROR(VLOOKUP(B697,'EPP'!$B$7:$D$64,2,FALSE),"")</x:f>
        <x:v>GUANTE KIM- NITRILO ARENADO T9</x:v>
      </x:c>
      <x:c r="D697" s="90" t="str">
        <x:f>IFERROR(VLOOKUP(B697,'EPP'!$B$7:$D$64,3,FALSE),"")</x:f>
        <x:v>Par</x:v>
      </x:c>
      <x:c r="E697" s="90" t="str">
        <x:v>Yeiler Avilorio</x:v>
      </x:c>
      <x:c r="F697" s="90" t="n">
        <x:v>1</x:v>
      </x:c>
    </x:row>
    <x:row r="698">
      <x:c r="A698" s="89" t="n">
        <x:v>46209</x:v>
      </x:c>
      <x:c r="B698" s="90" t="str">
        <x:v>PM02</x:v>
      </x:c>
      <x:c r="C698" s="90" t="str">
        <x:f>IFERROR(VLOOKUP(B698,'EPP'!$B$7:$D$64,2,FALSE),"")</x:f>
        <x:v>GUANTE LARGO USO VETERINARIO</x:v>
      </x:c>
      <x:c r="D698" s="90" t="str">
        <x:f>IFERROR(VLOOKUP(B698,'EPP'!$B$7:$D$64,3,FALSE),"")</x:f>
        <x:v>Par</x:v>
      </x:c>
      <x:c r="E698" s="90" t="str">
        <x:v>Reinaldo Sosa</x:v>
      </x:c>
      <x:c r="F698" s="90" t="n">
        <x:v>1</x:v>
      </x:c>
    </x:row>
    <x:row r="699">
      <x:c r="A699" s="89" t="n">
        <x:v>46209</x:v>
      </x:c>
      <x:c r="B699" s="90" t="str">
        <x:v>PR06</x:v>
      </x:c>
      <x:c r="C699" s="90" t="str">
        <x:f>IFERROR(VLOOKUP(B699,'EPP'!$B$7:$D$64,2,FALSE),"")</x:f>
        <x:v>TAPABOCAS INDUSTRIAL NEGRO</x:v>
      </x:c>
      <x:c r="D699" s="90" t="str">
        <x:f>IFERROR(VLOOKUP(B699,'EPP'!$B$7:$D$64,3,FALSE),"")</x:f>
        <x:v>Unidad </x:v>
      </x:c>
      <x:c r="E699" s="90" t="str">
        <x:v>Reinaldo Sosa</x:v>
      </x:c>
      <x:c r="F699" s="90" t="n">
        <x:v>1</x:v>
      </x:c>
    </x:row>
    <x:row r="700">
      <x:c r="A700" s="89" t="n">
        <x:v>46209</x:v>
      </x:c>
      <x:c r="B700" s="90" t="str">
        <x:v>PR06</x:v>
      </x:c>
      <x:c r="C700" s="90" t="str">
        <x:f>IFERROR(VLOOKUP(B700,'EPP'!$B$7:$D$64,2,FALSE),"")</x:f>
        <x:v>TAPABOCAS INDUSTRIAL NEGRO</x:v>
      </x:c>
      <x:c r="D700" s="90" t="str">
        <x:f>IFERROR(VLOOKUP(B700,'EPP'!$B$7:$D$64,3,FALSE),"")</x:f>
        <x:v>Unidad </x:v>
      </x:c>
      <x:c r="E700" s="90" t="str">
        <x:v>Lizandro Arboleda</x:v>
      </x:c>
      <x:c r="F700" s="90" t="n">
        <x:v>1</x:v>
      </x:c>
    </x:row>
    <x:row r="701">
      <x:c r="A701" s="89" t="n">
        <x:v>46209</x:v>
      </x:c>
      <x:c r="B701" s="90" t="str">
        <x:v>PV02</x:v>
      </x:c>
      <x:c r="C701" s="90" t="str">
        <x:f>IFERROR(VLOOKUP(B701,'EPP'!$B$7:$D$64,2,FALSE),"")</x:f>
        <x:v>GAFAS LENTE CLARO</x:v>
      </x:c>
      <x:c r="D701" s="90" t="str">
        <x:f>IFERROR(VLOOKUP(B701,'EPP'!$B$7:$D$64,3,FALSE),"")</x:f>
        <x:v>Unidad </x:v>
      </x:c>
      <x:c r="E701" s="90" t="str">
        <x:v>Lizandro Arboleda</x:v>
      </x:c>
      <x:c r="F701" s="90" t="n">
        <x:v>1</x:v>
      </x:c>
    </x:row>
    <x:row r="702">
      <x:c r="A702" s="89" t="n">
        <x:v>46209</x:v>
      </x:c>
      <x:c r="B702" s="90" t="str">
        <x:v>PV02</x:v>
      </x:c>
      <x:c r="C702" s="90" t="str">
        <x:f>IFERROR(VLOOKUP(B702,'EPP'!$B$7:$D$64,2,FALSE),"")</x:f>
        <x:v>GAFAS LENTE CLARO</x:v>
      </x:c>
      <x:c r="D702" s="90" t="str">
        <x:f>IFERROR(VLOOKUP(B702,'EPP'!$B$7:$D$64,3,FALSE),"")</x:f>
        <x:v>Unidad </x:v>
      </x:c>
      <x:c r="E702" s="90" t="str">
        <x:v>Reinaldo Sosa</x:v>
      </x:c>
      <x:c r="F702" s="90" t="n">
        <x:v>1</x:v>
      </x:c>
    </x:row>
    <x:row r="703">
      <x:c r="A703" s="89" t="n">
        <x:v>46209</x:v>
      </x:c>
      <x:c r="B703" s="90" t="str">
        <x:v>PM14</x:v>
      </x:c>
      <x:c r="C703" s="90" t="str">
        <x:f>IFERROR(VLOOKUP(B703,'EPP'!$B$7:$D$64,2,FALSE),"")</x:f>
        <x:v>GUANTE KIM- NITRILO ARENADO T9</x:v>
      </x:c>
      <x:c r="D703" s="90" t="str">
        <x:f>IFERROR(VLOOKUP(B703,'EPP'!$B$7:$D$64,3,FALSE),"")</x:f>
        <x:v>Par</x:v>
      </x:c>
      <x:c r="E703" s="90" t="str">
        <x:v>Reinaldo Sosa</x:v>
      </x:c>
      <x:c r="F703" s="90" t="n">
        <x:v>1</x:v>
      </x:c>
    </x:row>
    <x:row r="704">
      <x:c r="A704" s="89" t="n">
        <x:v>46209</x:v>
      </x:c>
      <x:c r="B704" s="90" t="str">
        <x:v>PM02</x:v>
      </x:c>
      <x:c r="C704" s="90" t="str">
        <x:f>IFERROR(VLOOKUP(B704,'EPP'!$B$7:$D$64,2,FALSE),"")</x:f>
        <x:v>GUANTE LARGO USO VETERINARIO</x:v>
      </x:c>
      <x:c r="D704" s="90" t="str">
        <x:f>IFERROR(VLOOKUP(B704,'EPP'!$B$7:$D$64,3,FALSE),"")</x:f>
        <x:v>Par</x:v>
      </x:c>
      <x:c r="E704" s="90" t="str">
        <x:v>Lizandro Arboleda</x:v>
      </x:c>
      <x:c r="F704" s="90" t="n">
        <x:v>1</x:v>
      </x:c>
    </x:row>
    <x:row r="705">
      <x:c r="A705" s="89" t="n">
        <x:v>46209</x:v>
      </x:c>
      <x:c r="B705" s="90" t="str">
        <x:v>PM02</x:v>
      </x:c>
      <x:c r="C705" s="90" t="str">
        <x:f>IFERROR(VLOOKUP(B705,'EPP'!$B$7:$D$64,2,FALSE),"")</x:f>
        <x:v>GUANTE LARGO USO VETERINARIO</x:v>
      </x:c>
      <x:c r="D705" s="90" t="str">
        <x:f>IFERROR(VLOOKUP(B705,'EPP'!$B$7:$D$64,3,FALSE),"")</x:f>
        <x:v>Par</x:v>
      </x:c>
      <x:c r="E705" s="90" t="str">
        <x:v>Jhonnifer Soler, Wilder Stiven,</x:v>
      </x:c>
      <x:c r="F705" s="90" t="n">
        <x:v>2</x:v>
      </x:c>
    </x:row>
    <x:row r="706">
      <x:c r="A706" s="89" t="n">
        <x:v>46209</x:v>
      </x:c>
      <x:c r="B706" s="90" t="str">
        <x:v>PR06</x:v>
      </x:c>
      <x:c r="C706" s="90" t="str">
        <x:f>IFERROR(VLOOKUP(B706,'EPP'!$B$7:$D$64,2,FALSE),"")</x:f>
        <x:v>TAPABOCAS INDUSTRIAL NEGRO</x:v>
      </x:c>
      <x:c r="D706" s="90" t="str">
        <x:f>IFERROR(VLOOKUP(B706,'EPP'!$B$7:$D$64,3,FALSE),"")</x:f>
        <x:v>Unidad </x:v>
      </x:c>
      <x:c r="E706" s="90" t="str">
        <x:v>Jhonnifer Soler, Wilder Stiven, Juan Camilo</x:v>
      </x:c>
      <x:c r="F706" s="90" t="n">
        <x:v>3</x:v>
      </x:c>
    </x:row>
    <x:row r="707">
      <x:c r="A707" s="89" t="n">
        <x:v>46212</x:v>
      </x:c>
      <x:c r="B707" s="90" t="str">
        <x:v>PC21</x:v>
      </x:c>
      <x:c r="C707" s="90" t="str">
        <x:f>IFERROR(VLOOKUP(B707,'EPP'!$B$7:$D$64,2,FALSE),"")</x:f>
        <x:v>CASQUETE PORTAVISOR AMARILLO</x:v>
      </x:c>
      <x:c r="D707" s="90" t="str">
        <x:f>IFERROR(VLOOKUP(B707,'EPP'!$B$7:$D$64,3,FALSE),"")</x:f>
        <x:v>Unidad </x:v>
      </x:c>
      <x:c r="E707" s="90" t="str">
        <x:v>Wilson Carrillo</x:v>
      </x:c>
      <x:c r="F707" s="90" t="n">
        <x:v>1</x:v>
      </x:c>
    </x:row>
    <x:row r="708">
      <x:c r="A708" s="89" t="n">
        <x:v>46212</x:v>
      </x:c>
      <x:c r="B708" s="90" t="str">
        <x:v>PM14</x:v>
      </x:c>
      <x:c r="C708" s="90" t="str">
        <x:f>IFERROR(VLOOKUP(B708,'EPP'!$B$7:$D$64,2,FALSE),"")</x:f>
        <x:v>GUANTE KIM- NITRILO ARENADO T9</x:v>
      </x:c>
      <x:c r="D708" s="90" t="str">
        <x:f>IFERROR(VLOOKUP(B708,'EPP'!$B$7:$D$64,3,FALSE),"")</x:f>
        <x:v>Par</x:v>
      </x:c>
      <x:c r="E708" s="90" t="str">
        <x:v>Oscar Moreno</x:v>
      </x:c>
      <x:c r="F708" s="90" t="n">
        <x:v>1</x:v>
      </x:c>
    </x:row>
    <x:row r="709">
      <x:c r="A709" s="89" t="n">
        <x:v>46212</x:v>
      </x:c>
      <x:c r="B709" s="90" t="str">
        <x:v>PM14</x:v>
      </x:c>
      <x:c r="C709" s="90" t="str">
        <x:f>IFERROR(VLOOKUP(B709,'EPP'!$B$7:$D$64,2,FALSE),"")</x:f>
        <x:v>GUANTE KIM- NITRILO ARENADO T9</x:v>
      </x:c>
      <x:c r="D709" s="90" t="str">
        <x:f>IFERROR(VLOOKUP(B709,'EPP'!$B$7:$D$64,3,FALSE),"")</x:f>
        <x:v>Par</x:v>
      </x:c>
      <x:c r="E709" s="90" t="str">
        <x:v>Fabio Moreno</x:v>
      </x:c>
      <x:c r="F709" s="90" t="n">
        <x:v>1</x:v>
      </x:c>
    </x:row>
    <x:row r="710">
      <x:c r="A710" s="89" t="n">
        <x:v>46213</x:v>
      </x:c>
      <x:c r="B710" s="90" t="str">
        <x:v>PM02</x:v>
      </x:c>
      <x:c r="C710" s="90" t="str">
        <x:f>IFERROR(VLOOKUP(B710,'EPP'!$B$7:$D$64,2,FALSE),"")</x:f>
        <x:v>GUANTE LARGO USO VETERINARIO</x:v>
      </x:c>
      <x:c r="D710" s="90" t="str">
        <x:f>IFERROR(VLOOKUP(B710,'EPP'!$B$7:$D$64,3,FALSE),"")</x:f>
        <x:v>Par</x:v>
      </x:c>
      <x:c r="E710" s="90" t="str">
        <x:v>Wilson Carrillo</x:v>
      </x:c>
      <x:c r="F710" s="90" t="n">
        <x:v>1</x:v>
      </x:c>
    </x:row>
    <x:row r="711">
      <x:c r="A711" s="89" t="n">
        <x:v>46213</x:v>
      </x:c>
      <x:c r="B711" s="90" t="str">
        <x:v>PM14</x:v>
      </x:c>
      <x:c r="C711" s="90" t="str">
        <x:f>IFERROR(VLOOKUP(B711,'EPP'!$B$7:$D$64,2,FALSE),"")</x:f>
        <x:v>GUANTE KIM- NITRILO ARENADO T9</x:v>
      </x:c>
      <x:c r="D711" s="90" t="str">
        <x:f>IFERROR(VLOOKUP(B711,'EPP'!$B$7:$D$64,3,FALSE),"")</x:f>
        <x:v>Par</x:v>
      </x:c>
      <x:c r="E711" s="90" t="str">
        <x:v>Fabio Moreno</x:v>
      </x:c>
      <x:c r="F711" s="90" t="n">
        <x:v>12</x:v>
      </x:c>
    </x:row>
    <x:row r="712">
      <x:c r="A712" s="89" t="n">
        <x:v>46213</x:v>
      </x:c>
      <x:c r="B712" s="90" t="str">
        <x:v>PM18</x:v>
      </x:c>
      <x:c r="C712" s="90" t="str">
        <x:f>IFERROR(VLOOKUP(B712,'EPP'!$B$7:$D$64,2,FALSE),"")</x:f>
        <x:v>GUANTE KIM- NITRILO ARENADO T10</x:v>
      </x:c>
      <x:c r="D712" s="90" t="str">
        <x:f>IFERROR(VLOOKUP(B712,'EPP'!$B$7:$D$64,3,FALSE),"")</x:f>
        <x:v>Par</x:v>
      </x:c>
      <x:c r="E712" s="90" t="str">
        <x:v>Oscar Moreno</x:v>
      </x:c>
      <x:c r="F712" s="90" t="n">
        <x:v>7</x:v>
      </x:c>
    </x:row>
    <x:row r="713">
      <x:c r="A713" s="89" t="n">
        <x:v>46213</x:v>
      </x:c>
      <x:c r="B713" s="90" t="str">
        <x:v>PM14</x:v>
      </x:c>
      <x:c r="C713" s="90" t="str">
        <x:f>IFERROR(VLOOKUP(B713,'EPP'!$B$7:$D$64,2,FALSE),"")</x:f>
        <x:v>GUANTE KIM- NITRILO ARENADO T9</x:v>
      </x:c>
      <x:c r="D713" s="90" t="str">
        <x:f>IFERROR(VLOOKUP(B713,'EPP'!$B$7:$D$64,3,FALSE),"")</x:f>
        <x:v>Par</x:v>
      </x:c>
      <x:c r="E713" s="90" t="str">
        <x:v>Oscar Moreno</x:v>
      </x:c>
      <x:c r="F713" s="90" t="n">
        <x:v>1</x:v>
      </x:c>
    </x:row>
    <x:row r="714">
      <x:c r="A714" s="89" t="n">
        <x:v>46213</x:v>
      </x:c>
      <x:c r="B714" s="90" t="str">
        <x:v>PM14</x:v>
      </x:c>
      <x:c r="C714" s="90" t="str">
        <x:f>IFERROR(VLOOKUP(B714,'EPP'!$B$7:$D$64,2,FALSE),"")</x:f>
        <x:v>GUANTE KIM- NITRILO ARENADO T9</x:v>
      </x:c>
      <x:c r="D714" s="90" t="str">
        <x:f>IFERROR(VLOOKUP(B714,'EPP'!$B$7:$D$64,3,FALSE),"")</x:f>
        <x:v>Par</x:v>
      </x:c>
      <x:c r="E714" s="90" t="str">
        <x:v>Harbey torres</x:v>
      </x:c>
      <x:c r="F714" s="90" t="n">
        <x:v>1</x:v>
      </x:c>
    </x:row>
    <x:row r="715">
      <x:c r="A715" s="89" t="n">
        <x:v>46213</x:v>
      </x:c>
      <x:c r="B715" s="90" t="str">
        <x:v>PC18</x:v>
      </x:c>
      <x:c r="C715" s="90" t="str">
        <x:f>IFERROR(VLOOKUP(B715,'EPP'!$B$7:$D$64,2,FALSE),"")</x:f>
        <x:v>IMPERMEABLE XL</x:v>
      </x:c>
      <x:c r="D715" s="90" t="str">
        <x:f>IFERROR(VLOOKUP(B715,'EPP'!$B$7:$D$64,3,FALSE),"")</x:f>
        <x:v>Unidad </x:v>
      </x:c>
      <x:c r="E715" s="90" t="str">
        <x:v>traslado Finca California</x:v>
      </x:c>
      <x:c r="F715" s="90" t="n">
        <x:v>5</x:v>
      </x:c>
    </x:row>
    <x:row r="716">
      <x:c r="A716" s="89" t="n">
        <x:v>46213</x:v>
      </x:c>
      <x:c r="B716" s="90" t="str">
        <x:v>PC20</x:v>
      </x:c>
      <x:c r="C716" s="90" t="str">
        <x:f>IFERROR(VLOOKUP(B716,'EPP'!$B$7:$D$64,2,FALSE),"")</x:f>
        <x:v>IMPERMEABLE M</x:v>
      </x:c>
      <x:c r="D716" s="90" t="str">
        <x:f>IFERROR(VLOOKUP(B716,'EPP'!$B$7:$D$64,3,FALSE),"")</x:f>
        <x:v>Unidad </x:v>
      </x:c>
      <x:c r="E716" s="90" t="str">
        <x:v>traslado Finca California</x:v>
      </x:c>
      <x:c r="F716" s="90" t="n">
        <x:v>2</x:v>
      </x:c>
    </x:row>
    <x:row r="717">
      <x:c r="A717" s="89" t="n">
        <x:v>46215</x:v>
      </x:c>
      <x:c r="B717" s="90" t="str">
        <x:v>PR05</x:v>
      </x:c>
      <x:c r="C717" s="90" t="str">
        <x:f>IFERROR(VLOOKUP(B717,'EPP'!$B$7:$D$64,2,FALSE),"")</x:f>
        <x:v>TAPABOCAS DESECHABLE</x:v>
      </x:c>
      <x:c r="D717" s="90" t="str">
        <x:f>IFERROR(VLOOKUP(B717,'EPP'!$B$7:$D$64,3,FALSE),"")</x:f>
        <x:v>Unidad </x:v>
      </x:c>
      <x:c r="E717" s="90" t="str">
        <x:v>Yeiler Avilorio, Harbey Torres</x:v>
      </x:c>
      <x:c r="F717" s="90" t="n">
        <x:v>2</x:v>
      </x:c>
    </x:row>
    <x:row r="718">
      <x:c r="A718" s="89" t="n">
        <x:v>46215</x:v>
      </x:c>
      <x:c r="B718" s="90" t="str">
        <x:v>PR05</x:v>
      </x:c>
      <x:c r="C718" s="90" t="str">
        <x:f>IFERROR(VLOOKUP(B718,'EPP'!$B$7:$D$64,2,FALSE),"")</x:f>
        <x:v>TAPABOCAS DESECHABLE</x:v>
      </x:c>
      <x:c r="D718" s="90" t="str">
        <x:f>IFERROR(VLOOKUP(B718,'EPP'!$B$7:$D$64,3,FALSE),"")</x:f>
        <x:v>Unidad </x:v>
      </x:c>
      <x:c r="E718" s="90" t="str">
        <x:v>Yeiler Avilorio</x:v>
      </x:c>
      <x:c r="F718" s="90" t="n">
        <x:v>1</x:v>
      </x:c>
    </x:row>
    <x:row r="719">
      <x:c r="A719" s="89" t="n">
        <x:v>46216</x:v>
      </x:c>
      <x:c r="B719" s="90" t="str">
        <x:v>PC09</x:v>
      </x:c>
      <x:c r="C719" s="90" t="str">
        <x:f>IFERROR(VLOOKUP(B719,'EPP'!$B$7:$D$64,2,FALSE),"")</x:f>
        <x:v>OVEROL ANTIFUIDO INDUSTRIAL TL</x:v>
      </x:c>
      <x:c r="D719" s="90" t="str">
        <x:f>IFERROR(VLOOKUP(B719,'EPP'!$B$7:$D$64,3,FALSE),"")</x:f>
        <x:v>Unidad </x:v>
      </x:c>
      <x:c r="E719" s="90" t="str">
        <x:v>Jhonnifer Soler</x:v>
      </x:c>
      <x:c r="F719" s="90" t="n">
        <x:v>1</x:v>
      </x:c>
    </x:row>
    <x:row r="720">
      <x:c r="A720" s="89" t="n">
        <x:v>46216</x:v>
      </x:c>
      <x:c r="B720" s="90" t="str">
        <x:v>PR06</x:v>
      </x:c>
      <x:c r="C720" s="90" t="str">
        <x:f>IFERROR(VLOOKUP(B720,'EPP'!$B$7:$D$64,2,FALSE),"")</x:f>
        <x:v>TAPABOCAS INDUSTRIAL NEGRO</x:v>
      </x:c>
      <x:c r="D720" s="90" t="str">
        <x:f>IFERROR(VLOOKUP(B720,'EPP'!$B$7:$D$64,3,FALSE),"")</x:f>
        <x:v>Unidad </x:v>
      </x:c>
      <x:c r="E720" s="90" t="str">
        <x:v>Gustavo Pérez</x:v>
      </x:c>
      <x:c r="F720" s="90" t="n">
        <x:v>1</x:v>
      </x:c>
    </x:row>
    <x:row r="721">
      <x:c r="A721" s="89" t="n">
        <x:v>46216</x:v>
      </x:c>
      <x:c r="B721" s="90" t="str">
        <x:v>PV01</x:v>
      </x:c>
      <x:c r="C721" s="90" t="str">
        <x:f>IFERROR(VLOOKUP(B721,'EPP'!$B$7:$D$64,2,FALSE),"")</x:f>
        <x:v>GAFAS LENTE OSCURO</x:v>
      </x:c>
      <x:c r="D721" s="90" t="str">
        <x:f>IFERROR(VLOOKUP(B721,'EPP'!$B$7:$D$64,3,FALSE),"")</x:f>
        <x:v>Unidad </x:v>
      </x:c>
      <x:c r="E721" s="90" t="str">
        <x:v>Gustavo Pérez</x:v>
      </x:c>
      <x:c r="F721" s="90" t="n">
        <x:v>1</x:v>
      </x:c>
    </x:row>
    <x:row r="722">
      <x:c r="A722" s="89" t="n">
        <x:v>46216</x:v>
      </x:c>
      <x:c r="B722" s="90" t="str">
        <x:v>PV01</x:v>
      </x:c>
      <x:c r="C722" s="90" t="str">
        <x:f>IFERROR(VLOOKUP(B722,'EPP'!$B$7:$D$64,2,FALSE),"")</x:f>
        <x:v>GAFAS LENTE OSCURO</x:v>
      </x:c>
      <x:c r="D722" s="90" t="str">
        <x:f>IFERROR(VLOOKUP(B722,'EPP'!$B$7:$D$64,3,FALSE),"")</x:f>
        <x:v>Unidad </x:v>
      </x:c>
      <x:c r="E722" s="90" t="str">
        <x:v>Wilder Stiven</x:v>
      </x:c>
      <x:c r="F722" s="90" t="n">
        <x:v>1</x:v>
      </x:c>
    </x:row>
    <x:row r="723">
      <x:c r="A723" s="89" t="n">
        <x:v>46216</x:v>
      </x:c>
      <x:c r="B723" s="90" t="str">
        <x:v>PV01</x:v>
      </x:c>
      <x:c r="C723" s="90" t="str">
        <x:f>IFERROR(VLOOKUP(B723,'EPP'!$B$7:$D$64,2,FALSE),"")</x:f>
        <x:v>GAFAS LENTE OSCURO</x:v>
      </x:c>
      <x:c r="D723" s="90" t="str">
        <x:f>IFERROR(VLOOKUP(B723,'EPP'!$B$7:$D$64,3,FALSE),"")</x:f>
        <x:v>Unidad </x:v>
      </x:c>
      <x:c r="E723" s="90" t="str">
        <x:v>Uber Velasquez</x:v>
      </x:c>
      <x:c r="F723" s="90" t="n">
        <x:v>1</x:v>
      </x:c>
    </x:row>
    <x:row r="724">
      <x:c r="A724" s="89" t="n">
        <x:v>46216</x:v>
      </x:c>
      <x:c r="B724" s="90" t="str">
        <x:v>PR06</x:v>
      </x:c>
      <x:c r="C724" s="90" t="str">
        <x:f>IFERROR(VLOOKUP(B724,'EPP'!$B$7:$D$64,2,FALSE),"")</x:f>
        <x:v>TAPABOCAS INDUSTRIAL NEGRO</x:v>
      </x:c>
      <x:c r="D724" s="90" t="str">
        <x:f>IFERROR(VLOOKUP(B724,'EPP'!$B$7:$D$64,3,FALSE),"")</x:f>
        <x:v>Unidad </x:v>
      </x:c>
      <x:c r="E724" s="90" t="str">
        <x:v>Uber Velasquez</x:v>
      </x:c>
      <x:c r="F724" s="90" t="n">
        <x:v>1</x:v>
      </x:c>
    </x:row>
    <x:row r="725">
      <x:c r="A725" s="89" t="n">
        <x:v>46216</x:v>
      </x:c>
      <x:c r="B725" s="90" t="str">
        <x:v>PV01</x:v>
      </x:c>
      <x:c r="C725" s="90" t="str">
        <x:f>IFERROR(VLOOKUP(B725,'EPP'!$B$7:$D$64,2,FALSE),"")</x:f>
        <x:v>GAFAS LENTE OSCURO</x:v>
      </x:c>
      <x:c r="D725" s="90" t="str">
        <x:f>IFERROR(VLOOKUP(B725,'EPP'!$B$7:$D$64,3,FALSE),"")</x:f>
        <x:v>Unidad </x:v>
      </x:c>
      <x:c r="E725" s="90" t="str">
        <x:v>Reinaldo Sosa</x:v>
      </x:c>
      <x:c r="F725" s="90" t="n">
        <x:v>1</x:v>
      </x:c>
    </x:row>
    <x:row r="726">
      <x:c r="A726" s="89" t="n">
        <x:v>46216</x:v>
      </x:c>
      <x:c r="B726" s="90" t="str">
        <x:v>PM02</x:v>
      </x:c>
      <x:c r="C726" s="90" t="str">
        <x:f>IFERROR(VLOOKUP(B726,'EPP'!$B$7:$D$64,2,FALSE),"")</x:f>
        <x:v>GUANTE LARGO USO VETERINARIO</x:v>
      </x:c>
      <x:c r="D726" s="90" t="str">
        <x:f>IFERROR(VLOOKUP(B726,'EPP'!$B$7:$D$64,3,FALSE),"")</x:f>
        <x:v>Par</x:v>
      </x:c>
      <x:c r="E726" s="90" t="str">
        <x:v>Reinaldo Sosa</x:v>
      </x:c>
      <x:c r="F726" s="90" t="n">
        <x:v>1</x:v>
      </x:c>
    </x:row>
    <x:row r="727">
      <x:c r="A727" s="89" t="n">
        <x:v>46216</x:v>
      </x:c>
      <x:c r="B727" s="90" t="str">
        <x:v>PM02</x:v>
      </x:c>
      <x:c r="C727" s="90" t="str">
        <x:f>IFERROR(VLOOKUP(B727,'EPP'!$B$7:$D$64,2,FALSE),"")</x:f>
        <x:v>GUANTE LARGO USO VETERINARIO</x:v>
      </x:c>
      <x:c r="D727" s="90" t="str">
        <x:f>IFERROR(VLOOKUP(B727,'EPP'!$B$7:$D$64,3,FALSE),"")</x:f>
        <x:v>Par</x:v>
      </x:c>
      <x:c r="E727" s="90" t="str">
        <x:v>Gustavo Pérez</x:v>
      </x:c>
      <x:c r="F727" s="90" t="n">
        <x:v>1</x:v>
      </x:c>
    </x:row>
    <x:row r="728">
      <x:c r="A728" s="89" t="n">
        <x:v>46220</x:v>
      </x:c>
      <x:c r="B728" s="90" t="str">
        <x:v>PM14</x:v>
      </x:c>
      <x:c r="C728" s="90" t="str">
        <x:f>IFERROR(VLOOKUP(B728,'EPP'!$B$7:$D$64,2,FALSE),"")</x:f>
        <x:v>GUANTE KIM- NITRILO ARENADO T9</x:v>
      </x:c>
      <x:c r="D728" s="90" t="str">
        <x:f>IFERROR(VLOOKUP(B728,'EPP'!$B$7:$D$64,3,FALSE),"")</x:f>
        <x:v>Par</x:v>
      </x:c>
      <x:c r="E728" s="90" t="str">
        <x:v>Weimar Ibarra</x:v>
      </x:c>
      <x:c r="F728" s="90" t="n">
        <x:v>1</x:v>
      </x:c>
    </x:row>
    <x:row r="729">
      <x:c r="A729" s="89" t="n">
        <x:v>46221</x:v>
      </x:c>
      <x:c r="B729" s="90" t="str">
        <x:v>PM14</x:v>
      </x:c>
      <x:c r="C729" s="90" t="str">
        <x:f>IFERROR(VLOOKUP(B729,'EPP'!$B$7:$D$64,2,FALSE),"")</x:f>
        <x:v>GUANTE KIM- NITRILO ARENADO T9</x:v>
      </x:c>
      <x:c r="D729" s="90" t="str">
        <x:f>IFERROR(VLOOKUP(B729,'EPP'!$B$7:$D$64,3,FALSE),"")</x:f>
        <x:v>Par</x:v>
      </x:c>
      <x:c r="E729" s="90" t="str">
        <x:v>Lizandro Arboleda</x:v>
      </x:c>
      <x:c r="F729" s="90" t="n">
        <x:v>1</x:v>
      </x:c>
    </x:row>
    <x:row r="730">
      <x:c r="A730" s="89" t="n">
        <x:v>46221</x:v>
      </x:c>
      <x:c r="B730" s="90" t="str">
        <x:v>PC20</x:v>
      </x:c>
      <x:c r="C730" s="90" t="str">
        <x:f>IFERROR(VLOOKUP(B730,'EPP'!$B$7:$D$64,2,FALSE),"")</x:f>
        <x:v>IMPERMEABLE M</x:v>
      </x:c>
      <x:c r="D730" s="90" t="str">
        <x:f>IFERROR(VLOOKUP(B730,'EPP'!$B$7:$D$64,3,FALSE),"")</x:f>
        <x:v>Unidad </x:v>
      </x:c>
      <x:c r="E730" s="90" t="str">
        <x:v>Harbey Torres</x:v>
      </x:c>
      <x:c r="F730" s="90" t="n">
        <x:v>1</x:v>
      </x:c>
    </x:row>
    <x:row r="731">
      <x:c r="A731" s="89" t="n">
        <x:v>46222</x:v>
      </x:c>
      <x:c r="B731" s="90" t="str">
        <x:v>PM14</x:v>
      </x:c>
      <x:c r="C731" s="90" t="str">
        <x:f>IFERROR(VLOOKUP(B731,'EPP'!$B$7:$D$64,2,FALSE),"")</x:f>
        <x:v>GUANTE KIM- NITRILO ARENADO T9</x:v>
      </x:c>
      <x:c r="D731" s="90" t="str">
        <x:f>IFERROR(VLOOKUP(B731,'EPP'!$B$7:$D$64,3,FALSE),"")</x:f>
        <x:v>Par</x:v>
      </x:c>
      <x:c r="E731" s="90" t="str">
        <x:v>Wilson Carrillo, Reinaldo Sosa</x:v>
      </x:c>
      <x:c r="F731" s="90" t="n">
        <x:v>2</x:v>
      </x:c>
    </x:row>
    <x:row r="732">
      <x:c r="A732" s="89" t="n">
        <x:v>46223</x:v>
      </x:c>
      <x:c r="B732" s="90" t="str">
        <x:v>PV02</x:v>
      </x:c>
      <x:c r="C732" s="90" t="str">
        <x:f>IFERROR(VLOOKUP(B732,'EPP'!$B$7:$D$64,2,FALSE),"")</x:f>
        <x:v>GAFAS LENTE CLARO</x:v>
      </x:c>
      <x:c r="D732" s="90" t="str">
        <x:f>IFERROR(VLOOKUP(B732,'EPP'!$B$7:$D$64,3,FALSE),"")</x:f>
        <x:v>Unidad </x:v>
      </x:c>
      <x:c r="E732" s="90" t="str">
        <x:v>Rafael Franco</x:v>
      </x:c>
      <x:c r="F732" s="90" t="n">
        <x:v>1</x:v>
      </x:c>
    </x:row>
    <x:row r="733">
      <x:c r="A733" s="89" t="n">
        <x:v>46223</x:v>
      </x:c>
      <x:c r="B733" s="90" t="str">
        <x:v>PF03</x:v>
      </x:c>
      <x:c r="C733" s="90" t="str">
        <x:f>IFERROR(VLOOKUP(B733,'EPP'!$B$7:$D$64,2,FALSE),"")</x:f>
        <x:v>VISOR  MALLA GUADAÑA</x:v>
      </x:c>
      <x:c r="D733" s="90" t="str">
        <x:f>IFERROR(VLOOKUP(B733,'EPP'!$B$7:$D$64,3,FALSE),"")</x:f>
        <x:v>Unidad </x:v>
      </x:c>
      <x:c r="E733" s="90" t="str">
        <x:v>Fabián Contreras</x:v>
      </x:c>
      <x:c r="F733" s="90" t="n">
        <x:v>1</x:v>
      </x:c>
    </x:row>
    <x:row r="734">
      <x:c r="A734" s="89" t="n">
        <x:v>46223</x:v>
      </x:c>
      <x:c r="B734" s="90" t="str">
        <x:v>PM14</x:v>
      </x:c>
      <x:c r="C734" s="90" t="str">
        <x:f>IFERROR(VLOOKUP(B734,'EPP'!$B$7:$D$64,2,FALSE),"")</x:f>
        <x:v>GUANTE KIM- NITRILO ARENADO T9</x:v>
      </x:c>
      <x:c r="D734" s="90" t="str">
        <x:f>IFERROR(VLOOKUP(B734,'EPP'!$B$7:$D$64,3,FALSE),"")</x:f>
        <x:v>Par</x:v>
      </x:c>
      <x:c r="E734" s="90" t="str">
        <x:v>Fabián Contreras</x:v>
      </x:c>
      <x:c r="F734" s="90" t="n">
        <x:v>1</x:v>
      </x:c>
    </x:row>
    <x:row r="735">
      <x:c r="A735" s="89" t="n">
        <x:v>46223</x:v>
      </x:c>
      <x:c r="B735" s="90" t="str">
        <x:v>PF03</x:v>
      </x:c>
      <x:c r="C735" s="90" t="str">
        <x:f>IFERROR(VLOOKUP(B735,'EPP'!$B$7:$D$64,2,FALSE),"")</x:f>
        <x:v>VISOR  MALLA GUADAÑA</x:v>
      </x:c>
      <x:c r="D735" s="90" t="str">
        <x:f>IFERROR(VLOOKUP(B735,'EPP'!$B$7:$D$64,3,FALSE),"")</x:f>
        <x:v>Unidad </x:v>
      </x:c>
      <x:c r="E735" s="90" t="str">
        <x:v>Gustavo Pérez</x:v>
      </x:c>
      <x:c r="F735" s="90" t="n">
        <x:v>1</x:v>
      </x:c>
    </x:row>
    <x:row r="736">
      <x:c r="A736" s="89" t="n">
        <x:v>46224</x:v>
      </x:c>
      <x:c r="B736" s="90" t="str">
        <x:v>PF03</x:v>
      </x:c>
      <x:c r="C736" s="90" t="str">
        <x:f>IFERROR(VLOOKUP(B736,'EPP'!$B$7:$D$64,2,FALSE),"")</x:f>
        <x:v>VISOR  MALLA GUADAÑA</x:v>
      </x:c>
      <x:c r="D736" s="90" t="str">
        <x:f>IFERROR(VLOOKUP(B736,'EPP'!$B$7:$D$64,3,FALSE),"")</x:f>
        <x:v>Unidad </x:v>
      </x:c>
      <x:c r="E736" s="90" t="str">
        <x:v>Wilder Stiven</x:v>
      </x:c>
      <x:c r="F736" s="90" t="n">
        <x:v>1</x:v>
      </x:c>
    </x:row>
    <x:row r="737">
      <x:c r="A737" s="89" t="n">
        <x:v>46226</x:v>
      </x:c>
      <x:c r="B737" s="90" t="str">
        <x:v>PF03</x:v>
      </x:c>
      <x:c r="C737" s="90" t="str">
        <x:f>IFERROR(VLOOKUP(B737,'EPP'!$B$7:$D$64,2,FALSE),"")</x:f>
        <x:v>VISOR  MALLA GUADAÑA</x:v>
      </x:c>
      <x:c r="D737" s="90" t="str">
        <x:f>IFERROR(VLOOKUP(B737,'EPP'!$B$7:$D$64,3,FALSE),"")</x:f>
        <x:v>Unidad </x:v>
      </x:c>
      <x:c r="E737" s="90" t="str">
        <x:v>Ferney Gomez</x:v>
      </x:c>
      <x:c r="F737" s="90" t="n">
        <x:v>1</x:v>
      </x:c>
    </x:row>
    <x:row r="738">
      <x:c r="A738" s="89" t="n">
        <x:v>46228</x:v>
      </x:c>
      <x:c r="B738" s="90" t="str">
        <x:v>PM14</x:v>
      </x:c>
      <x:c r="C738" s="90" t="str">
        <x:f>IFERROR(VLOOKUP(B738,'EPP'!$B$7:$D$64,2,FALSE),"")</x:f>
        <x:v>GUANTE KIM- NITRILO ARENADO T9</x:v>
      </x:c>
      <x:c r="D738" s="90" t="str">
        <x:f>IFERROR(VLOOKUP(B738,'EPP'!$B$7:$D$64,3,FALSE),"")</x:f>
        <x:v>Par</x:v>
      </x:c>
      <x:c r="E738" s="90" t="str">
        <x:v>Gustavo Pérez</x:v>
      </x:c>
      <x:c r="F738" s="90" t="n">
        <x:v>1</x:v>
      </x:c>
    </x:row>
    <x:row r="739">
      <x:c r="A739" s="89" t="n">
        <x:v>46229</x:v>
      </x:c>
      <x:c r="B739" s="90" t="str">
        <x:v>PM13</x:v>
      </x:c>
      <x:c r="C739" s="90" t="str">
        <x:f>IFERROR(VLOOKUP(B739,'EPP'!$B$7:$D$64,2,FALSE),"")</x:f>
        <x:v>GUANTE KIM- NITRILO ARENADO T8</x:v>
      </x:c>
      <x:c r="D739" s="90" t="str">
        <x:f>IFERROR(VLOOKUP(B739,'EPP'!$B$7:$D$64,3,FALSE),"")</x:f>
        <x:v>Par</x:v>
      </x:c>
      <x:c r="E739" s="90" t="str">
        <x:v>Reinaldo sosa</x:v>
      </x:c>
      <x:c r="F739" s="90" t="n">
        <x:v>1</x:v>
      </x:c>
    </x:row>
    <x:row r="740">
      <x:c r="A740" s="89" t="n">
        <x:v>46230</x:v>
      </x:c>
      <x:c r="B740" s="90" t="str">
        <x:v>PM13</x:v>
      </x:c>
      <x:c r="C740" s="90" t="str">
        <x:f>IFERROR(VLOOKUP(B740,'EPP'!$B$7:$D$64,2,FALSE),"")</x:f>
        <x:v>GUANTE KIM- NITRILO ARENADO T8</x:v>
      </x:c>
      <x:c r="D740" s="90" t="str">
        <x:f>IFERROR(VLOOKUP(B740,'EPP'!$B$7:$D$64,3,FALSE),"")</x:f>
        <x:v>Par</x:v>
      </x:c>
      <x:c r="E740" s="90" t="str">
        <x:v>Dennys Bastidas</x:v>
      </x:c>
      <x:c r="F740" s="90" t="n">
        <x:v>1</x:v>
      </x:c>
    </x:row>
    <x:row r="741">
      <x:c r="A741" s="89" t="n">
        <x:v>46230</x:v>
      </x:c>
      <x:c r="B741" s="90" t="str">
        <x:v>PA02</x:v>
      </x:c>
      <x:c r="C741" s="90" t="str">
        <x:f>IFERROR(VLOOKUP(B741,'EPP'!$B$7:$D$64,2,FALSE),"")</x:f>
        <x:v>PROTECTOR AUDITIVO COPA</x:v>
      </x:c>
      <x:c r="D741" s="90" t="str">
        <x:f>IFERROR(VLOOKUP(B741,'EPP'!$B$7:$D$64,3,FALSE),"")</x:f>
        <x:v>Unidad </x:v>
      </x:c>
      <x:c r="E741" s="90" t="str">
        <x:v>Juan Camilo Gaitán</x:v>
      </x:c>
      <x:c r="F741" s="90" t="n">
        <x:v>1</x:v>
      </x:c>
    </x:row>
    <x:row r="742">
      <x:c r="A742" s="89" t="n">
        <x:v>46230</x:v>
      </x:c>
      <x:c r="B742" s="90" t="str">
        <x:v>PM02</x:v>
      </x:c>
      <x:c r="C742" s="90" t="str">
        <x:f>IFERROR(VLOOKUP(B742,'EPP'!$B$7:$D$64,2,FALSE),"")</x:f>
        <x:v>GUANTE LARGO USO VETERINARIO</x:v>
      </x:c>
      <x:c r="D742" s="90" t="str">
        <x:f>IFERROR(VLOOKUP(B742,'EPP'!$B$7:$D$64,3,FALSE),"")</x:f>
        <x:v>Par</x:v>
      </x:c>
      <x:c r="E742" s="90" t="str">
        <x:v>Harbey Torrer</x:v>
      </x:c>
      <x:c r="F742" s="90" t="n">
        <x:v>47</x:v>
      </x:c>
    </x:row>
    <x:row r="743">
      <x:c r="A743" s="89" t="n">
        <x:v>46231</x:v>
      </x:c>
      <x:c r="B743" s="90" t="str">
        <x:v>PF03</x:v>
      </x:c>
      <x:c r="C743" s="90" t="str">
        <x:f>IFERROR(VLOOKUP(B743,'EPP'!$B$7:$D$64,2,FALSE),"")</x:f>
        <x:v>VISOR  MALLA GUADAÑA</x:v>
      </x:c>
      <x:c r="D743" s="90" t="str">
        <x:f>IFERROR(VLOOKUP(B743,'EPP'!$B$7:$D$64,3,FALSE),"")</x:f>
        <x:v>Unidad </x:v>
      </x:c>
      <x:c r="E743" s="90" t="str">
        <x:v>Wilson Carrillo</x:v>
      </x:c>
      <x:c r="F743" s="90" t="n">
        <x:v>1</x:v>
      </x:c>
    </x:row>
    <x:row r="744">
      <x:c r="A744" s="89" t="n">
        <x:v>46231</x:v>
      </x:c>
      <x:c r="B744" s="90" t="str">
        <x:v>PV01</x:v>
      </x:c>
      <x:c r="C744" s="90" t="str">
        <x:f>IFERROR(VLOOKUP(B744,'EPP'!$B$7:$D$64,2,FALSE),"")</x:f>
        <x:v>GAFAS LENTE OSCURO</x:v>
      </x:c>
      <x:c r="D744" s="90" t="str">
        <x:f>IFERROR(VLOOKUP(B744,'EPP'!$B$7:$D$64,3,FALSE),"")</x:f>
        <x:v>Unidad </x:v>
      </x:c>
      <x:c r="E744" s="90" t="str">
        <x:v>Fabián Contreras</x:v>
      </x:c>
      <x:c r="F744" s="90" t="n">
        <x:v>1</x:v>
      </x:c>
    </x:row>
    <x:row r="745">
      <x:c r="A745" s="89" t="n">
        <x:v>46231</x:v>
      </x:c>
      <x:c r="B745" s="90" t="str">
        <x:v>PM13</x:v>
      </x:c>
      <x:c r="C745" s="90" t="str">
        <x:f>IFERROR(VLOOKUP(B745,'EPP'!$B$7:$D$64,2,FALSE),"")</x:f>
        <x:v>GUANTE KIM- NITRILO ARENADO T8</x:v>
      </x:c>
      <x:c r="D745" s="90" t="str">
        <x:f>IFERROR(VLOOKUP(B745,'EPP'!$B$7:$D$64,3,FALSE),"")</x:f>
        <x:v>Par</x:v>
      </x:c>
      <x:c r="E745" s="90" t="str">
        <x:v>Jimena</x:v>
      </x:c>
      <x:c r="F745" s="90" t="n">
        <x:v>1</x:v>
      </x:c>
    </x:row>
    <x:row r="746">
      <x:c r="A746" s="89" t="n">
        <x:v>46234</x:v>
      </x:c>
      <x:c r="B746" s="90" t="str">
        <x:v>PCA02</x:v>
      </x:c>
      <x:c r="C746" s="90" t="str">
        <x:f>IFERROR(VLOOKUP(B746,'EPP'!$B$7:$D$64,2,FALSE),"")</x:f>
        <x:v>SOMBRERO TIPO SAFARY</x:v>
      </x:c>
      <x:c r="D746" s="90" t="str">
        <x:f>IFERROR(VLOOKUP(B746,'EPP'!$B$7:$D$64,3,FALSE),"")</x:f>
        <x:v>Unidad </x:v>
      </x:c>
      <x:c r="E746" s="90" t="str">
        <x:v>Pedro Vizcaíno</x:v>
      </x:c>
      <x:c r="F746" s="9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faf155ea9c64e7e"/>
  </x:tableParts>
</x:worksheet>
</file>

<file path=xl/worksheets/sheet3.xml><?xml version="1.0" encoding="utf-8"?>
<x:worksheet xmlns:x="http://schemas.openxmlformats.org/spreadsheetml/2006/main">
  <x:sheetPr>
    <x:tabColor theme="9" tint="-0.49992"/>
  </x:sheetPr>
  <x:sheetFormatPr baseColWidth="10" defaultRowHeight="15"/>
  <x:cols>
    <x:col min="1" max="2" width="11.42578125" style="16" customWidth="0"/>
    <x:col min="3" max="3" width="40" style="16" customWidth="1"/>
    <x:col min="4" max="4" width="18.140625" style="16" customWidth="1"/>
    <x:col min="5" max="16384" width="11.42578125" style="16" customWidth="0"/>
  </x:cols>
  <x:sheetData>
    <x:row r="1" ht="15" customHeight="1">
      <x:c r="A1" s="50" t="s">
        <x:v>134</x:v>
      </x:c>
      <x:c r="B1" s="50" t="s">
        <x:v>135</x:v>
      </x:c>
      <x:c r="C1" s="50" t="s">
        <x:v>136</x:v>
      </x:c>
      <x:c r="D1" s="50" t="s">
        <x:v>137</x:v>
      </x:c>
      <x:c r="E1" s="50" t="s">
        <x:v>224</x:v>
      </x:c>
    </x:row>
    <x:row r="2">
      <x:c r="A2" s="17">
        <x:v>45839</x:v>
      </x:c>
      <x:c r="B2" s="36" t="s">
        <x:v>225</x:v>
      </x:c>
      <x:c r="C2" s="49" t="s">
        <x:v>226</x:v>
      </x:c>
      <x:c r="D2" s="49" t="s">
        <x:v>20</x:v>
      </x:c>
      <x:c r="E2" s="49">
        <x:v>20</x:v>
      </x:c>
    </x:row>
    <x:row r="3">
      <x:c r="A3" s="17">
        <x:v>45839</x:v>
      </x:c>
      <x:c r="B3" s="36" t="s">
        <x:v>227</x:v>
      </x:c>
      <x:c r="C3" s="49" t="s">
        <x:v>228</x:v>
      </x:c>
      <x:c r="D3" s="49" t="s">
        <x:v>20</x:v>
      </x:c>
      <x:c r="E3" s="49">
        <x:v>20</x:v>
      </x:c>
    </x:row>
    <x:row r="4">
      <x:c r="A4" s="17">
        <x:v>45839</x:v>
      </x:c>
      <x:c r="B4" s="36" t="s">
        <x:v>229</x:v>
      </x:c>
      <x:c r="C4" s="16" t="s">
        <x:v>230</x:v>
      </x:c>
      <x:c r="D4" s="16" t="s">
        <x:v>20</x:v>
      </x:c>
      <x:c r="E4" s="16">
        <x:v>3</x:v>
      </x:c>
    </x:row>
    <x:row r="5">
      <x:c r="A5" s="17">
        <x:v>45839</x:v>
      </x:c>
      <x:c r="B5" s="36" t="s">
        <x:v>231</x:v>
      </x:c>
      <x:c r="C5" s="16" t="s">
        <x:v>232</x:v>
      </x:c>
      <x:c r="D5" s="16" t="s">
        <x:v>20</x:v>
      </x:c>
      <x:c r="E5" s="16">
        <x:v>4</x:v>
      </x:c>
    </x:row>
    <x:row r="6">
      <x:c r="A6" s="17">
        <x:v>45839</x:v>
      </x:c>
      <x:c r="B6" s="48" t="s">
        <x:v>233</x:v>
      </x:c>
      <x:c r="C6" s="16" t="s">
        <x:v>234</x:v>
      </x:c>
      <x:c r="D6" s="16" t="s">
        <x:v>20</x:v>
      </x:c>
      <x:c r="E6" s="16">
        <x:v>8</x:v>
      </x:c>
    </x:row>
    <x:row r="7">
      <x:c r="A7" s="17">
        <x:v>45839</x:v>
      </x:c>
      <x:c r="B7" s="48" t="s">
        <x:v>235</x:v>
      </x:c>
      <x:c r="C7" s="16" t="s">
        <x:v>236</x:v>
      </x:c>
      <x:c r="D7" s="16" t="s">
        <x:v>20</x:v>
      </x:c>
      <x:c r="E7" s="16">
        <x:v>3</x:v>
      </x:c>
    </x:row>
    <x:row r="8">
      <x:c r="A8" s="17">
        <x:v>45839</x:v>
      </x:c>
      <x:c r="B8" s="36" t="s">
        <x:v>237</x:v>
      </x:c>
      <x:c r="C8" s="16" t="s">
        <x:v>238</x:v>
      </x:c>
      <x:c r="D8" s="16" t="s">
        <x:v>41</x:v>
      </x:c>
      <x:c r="E8" s="16">
        <x:v>8</x:v>
      </x:c>
    </x:row>
    <x:row r="9">
      <x:c r="A9" s="17">
        <x:v>45839</x:v>
      </x:c>
      <x:c r="B9" s="36" t="s">
        <x:v>239</x:v>
      </x:c>
      <x:c r="C9" s="16" t="s">
        <x:v>240</x:v>
      </x:c>
      <x:c r="D9" s="16" t="s">
        <x:v>41</x:v>
      </x:c>
      <x:c r="E9" s="16">
        <x:v>9</x:v>
      </x:c>
    </x:row>
    <x:row r="10">
      <x:c r="A10" s="17">
        <x:v>45839</x:v>
      </x:c>
      <x:c r="B10" s="36" t="s">
        <x:v>241</x:v>
      </x:c>
      <x:c r="C10" s="16" t="s">
        <x:v>242</x:v>
      </x:c>
      <x:c r="D10" s="16" t="s">
        <x:v>41</x:v>
      </x:c>
      <x:c r="E10" s="16">
        <x:v>6</x:v>
      </x:c>
    </x:row>
    <x:row r="11">
      <x:c r="A11" s="17">
        <x:v>45839</x:v>
      </x:c>
      <x:c r="B11" s="56" t="s">
        <x:v>243</x:v>
      </x:c>
      <x:c r="C11" s="16" t="s">
        <x:v>244</x:v>
      </x:c>
      <x:c r="D11" s="16" t="s">
        <x:v>41</x:v>
      </x:c>
      <x:c r="E11" s="16">
        <x:v>25</x:v>
      </x:c>
    </x:row>
    <x:row r="12">
      <x:c r="A12" s="17">
        <x:v>45839</x:v>
      </x:c>
      <x:c r="B12" s="55" t="s">
        <x:v>245</x:v>
      </x:c>
      <x:c r="C12" s="16" t="s">
        <x:v>89</x:v>
      </x:c>
      <x:c r="D12" s="16" t="s">
        <x:v>20</x:v>
      </x:c>
      <x:c r="E12" s="16">
        <x:v>30</x:v>
      </x:c>
    </x:row>
    <x:row r="13">
      <x:c r="A13" s="17">
        <x:v>45839</x:v>
      </x:c>
      <x:c r="B13" s="55" t="s">
        <x:v>246</x:v>
      </x:c>
      <x:c r="C13" s="16" t="s">
        <x:v>247</x:v>
      </x:c>
      <x:c r="D13" s="16" t="s">
        <x:v>20</x:v>
      </x:c>
      <x:c r="E13" s="16">
        <x:v>5</x:v>
      </x:c>
    </x:row>
    <x:row r="14">
      <x:c r="A14" s="17">
        <x:v>45839</x:v>
      </x:c>
      <x:c r="B14" s="55" t="s">
        <x:v>248</x:v>
      </x:c>
      <x:c r="C14" s="16" t="s">
        <x:v>249</x:v>
      </x:c>
      <x:c r="D14" s="16" t="s">
        <x:v>20</x:v>
      </x:c>
      <x:c r="E14" s="16">
        <x:v>6</x:v>
      </x:c>
    </x:row>
    <x:row r="15">
      <x:c r="A15" s="17">
        <x:v>45839</x:v>
      </x:c>
      <x:c r="B15" s="55" t="s">
        <x:v>250</x:v>
      </x:c>
      <x:c r="C15" s="16" t="s">
        <x:v>251</x:v>
      </x:c>
      <x:c r="D15" s="16" t="s">
        <x:v>20</x:v>
      </x:c>
      <x:c r="E15" s="16">
        <x:v>2</x:v>
      </x:c>
    </x:row>
    <x:row r="16">
      <x:c r="A16" s="17">
        <x:v>45839</x:v>
      </x:c>
      <x:c r="B16" s="55" t="s">
        <x:v>252</x:v>
      </x:c>
      <x:c r="C16" s="16" t="s">
        <x:v>253</x:v>
      </x:c>
      <x:c r="D16" s="16" t="s">
        <x:v>20</x:v>
      </x:c>
      <x:c r="E16" s="16">
        <x:v>2</x:v>
      </x:c>
    </x:row>
    <x:row r="17">
      <x:c r="A17" s="17">
        <x:v>45839</x:v>
      </x:c>
      <x:c r="B17" s="16" t="s">
        <x:v>254</x:v>
      </x:c>
      <x:c r="C17" s="16" t="s">
        <x:v>255</x:v>
      </x:c>
      <x:c r="D17" s="16" t="s">
        <x:v>20</x:v>
      </x:c>
      <x:c r="E17" s="16">
        <x:v>2</x:v>
      </x:c>
    </x:row>
    <x:row r="18">
      <x:c r="A18" s="17">
        <x:v>45839</x:v>
      </x:c>
      <x:c r="B18" s="16" t="s">
        <x:v>256</x:v>
      </x:c>
      <x:c r="C18" s="16" t="s">
        <x:v>257</x:v>
      </x:c>
      <x:c r="D18" s="16" t="s">
        <x:v>41</x:v>
      </x:c>
      <x:c r="E18" s="16">
        <x:v>15</x:v>
      </x:c>
    </x:row>
    <x:row r="19">
      <x:c r="A19" s="17">
        <x:v>45839</x:v>
      </x:c>
      <x:c r="B19" s="16" t="s">
        <x:v>258</x:v>
      </x:c>
      <x:c r="C19" s="16" t="s">
        <x:v>259</x:v>
      </x:c>
      <x:c r="D19" s="16" t="s">
        <x:v>41</x:v>
      </x:c>
      <x:c r="E19" s="16">
        <x:v>2</x:v>
      </x:c>
    </x:row>
    <x:row r="20">
      <x:c r="A20" s="17">
        <x:v>45839</x:v>
      </x:c>
      <x:c r="B20" s="16" t="s">
        <x:v>260</x:v>
      </x:c>
      <x:c r="C20" s="16" t="s">
        <x:v>261</x:v>
      </x:c>
      <x:c r="D20" s="16" t="s">
        <x:v>20</x:v>
      </x:c>
      <x:c r="E20" s="16">
        <x:v>2</x:v>
      </x:c>
    </x:row>
    <x:row r="21">
      <x:c r="A21" s="17">
        <x:v>45839</x:v>
      </x:c>
      <x:c r="B21" s="16" t="s">
        <x:v>262</x:v>
      </x:c>
      <x:c r="C21" s="16" t="s">
        <x:v>263</x:v>
      </x:c>
      <x:c r="D21" s="16" t="s">
        <x:v>20</x:v>
      </x:c>
      <x:c r="E21" s="16">
        <x:v>2</x:v>
      </x:c>
    </x:row>
    <x:row r="22">
      <x:c r="A22" s="17">
        <x:v>45839</x:v>
      </x:c>
      <x:c r="B22" s="16" t="s">
        <x:v>264</x:v>
      </x:c>
      <x:c r="C22" s="16" t="s">
        <x:v>265</x:v>
      </x:c>
      <x:c r="D22" s="16" t="s">
        <x:v>20</x:v>
      </x:c>
      <x:c r="E22" s="16">
        <x:v>5</x:v>
      </x:c>
    </x:row>
    <x:row r="23">
      <x:c r="A23" s="17">
        <x:v>45839</x:v>
      </x:c>
      <x:c r="B23" s="16" t="s">
        <x:v>266</x:v>
      </x:c>
      <x:c r="C23" s="16" t="s">
        <x:v>267</x:v>
      </x:c>
      <x:c r="D23" s="16" t="s">
        <x:v>41</x:v>
      </x:c>
      <x:c r="E23" s="16">
        <x:v>4</x:v>
      </x:c>
    </x:row>
    <x:row r="24">
      <x:c r="A24" s="17">
        <x:v>45839</x:v>
      </x:c>
      <x:c r="B24" s="16" t="s">
        <x:v>268</x:v>
      </x:c>
      <x:c r="C24" s="16" t="s">
        <x:v>269</x:v>
      </x:c>
      <x:c r="D24" s="16" t="s">
        <x:v>20</x:v>
      </x:c>
      <x:c r="E24" s="16">
        <x:v>3</x:v>
      </x:c>
    </x:row>
    <x:row r="25">
      <x:c r="A25" s="17">
        <x:v>45839</x:v>
      </x:c>
      <x:c r="B25" s="16" t="s">
        <x:v>270</x:v>
      </x:c>
      <x:c r="C25" s="16" t="s">
        <x:v>271</x:v>
      </x:c>
      <x:c r="D25" s="16" t="s">
        <x:v>20</x:v>
      </x:c>
      <x:c r="E25" s="16">
        <x:v>3</x:v>
      </x:c>
    </x:row>
    <x:row r="26">
      <x:c r="A26" s="17">
        <x:v>45850</x:v>
      </x:c>
      <x:c r="B26" s="16" t="s">
        <x:v>272</x:v>
      </x:c>
      <x:c r="C26" s="16" t="s">
        <x:v>273</x:v>
      </x:c>
      <x:c r="D26" s="16" t="s">
        <x:v>41</x:v>
      </x:c>
      <x:c r="E26" s="16">
        <x:v>4</x:v>
      </x:c>
    </x:row>
    <x:row r="27">
      <x:c r="A27" s="17">
        <x:v>45850</x:v>
      </x:c>
      <x:c r="B27" s="16" t="s">
        <x:v>274</x:v>
      </x:c>
      <x:c r="C27" s="16" t="s">
        <x:v>275</x:v>
      </x:c>
      <x:c r="D27" s="16" t="s">
        <x:v>20</x:v>
      </x:c>
      <x:c r="E27" s="16">
        <x:v>4</x:v>
      </x:c>
    </x:row>
    <x:row r="28">
      <x:c r="A28" s="17">
        <x:v>45850</x:v>
      </x:c>
      <x:c r="B28" s="16" t="s">
        <x:v>276</x:v>
      </x:c>
      <x:c r="C28" s="16" t="s">
        <x:v>277</x:v>
      </x:c>
      <x:c r="D28" s="16" t="s">
        <x:v>20</x:v>
      </x:c>
      <x:c r="E28" s="16">
        <x:v>20</x:v>
      </x:c>
    </x:row>
    <x:row r="29">
      <x:c r="A29" s="17">
        <x:v>45850</x:v>
      </x:c>
      <x:c r="B29" s="16" t="s">
        <x:v>278</x:v>
      </x:c>
      <x:c r="C29" s="16" t="s">
        <x:v>279</x:v>
      </x:c>
      <x:c r="D29" s="16" t="s">
        <x:v>41</x:v>
      </x:c>
      <x:c r="E29" s="16">
        <x:v>10</x:v>
      </x:c>
    </x:row>
    <x:row r="30">
      <x:c r="A30" s="17">
        <x:v>45868</x:v>
      </x:c>
      <x:c r="B30" s="16" t="s">
        <x:v>280</x:v>
      </x:c>
      <x:c r="C30" s="16" t="s">
        <x:v>281</x:v>
      </x:c>
      <x:c r="D30" s="16" t="s">
        <x:v>20</x:v>
      </x:c>
      <x:c r="E30" s="16">
        <x:v>3</x:v>
      </x:c>
    </x:row>
    <x:row r="31">
      <x:c r="A31" s="17">
        <x:v>45868</x:v>
      </x:c>
      <x:c r="B31" s="16" t="s">
        <x:v>282</x:v>
      </x:c>
      <x:c r="C31" s="16" t="s">
        <x:v>283</x:v>
      </x:c>
      <x:c r="D31" s="16" t="s">
        <x:v>20</x:v>
      </x:c>
      <x:c r="E31" s="16">
        <x:v>3</x:v>
      </x:c>
    </x:row>
    <x:row r="32">
      <x:c r="A32" s="17">
        <x:v>45868</x:v>
      </x:c>
      <x:c r="B32" s="16" t="s">
        <x:v>284</x:v>
      </x:c>
      <x:c r="C32" s="16" t="s">
        <x:v>285</x:v>
      </x:c>
      <x:c r="D32" s="16" t="s">
        <x:v>20</x:v>
      </x:c>
      <x:c r="E32" s="16">
        <x:v>10</x:v>
      </x:c>
    </x:row>
    <x:row r="33">
      <x:c r="A33" s="17">
        <x:v>45894</x:v>
      </x:c>
      <x:c r="B33" s="16" t="s">
        <x:v>286</x:v>
      </x:c>
      <x:c r="C33" s="16" t="s">
        <x:v>279</x:v>
      </x:c>
      <x:c r="D33" s="16" t="s">
        <x:v>41</x:v>
      </x:c>
      <x:c r="E33" s="16">
        <x:v>4</x:v>
      </x:c>
    </x:row>
    <x:row r="34">
      <x:c r="A34" s="17">
        <x:v>45933</x:v>
      </x:c>
      <x:c r="B34" s="16" t="s">
        <x:v>287</x:v>
      </x:c>
      <x:c r="C34" s="16" t="s">
        <x:v>288</x:v>
      </x:c>
      <x:c r="D34" s="16" t="s">
        <x:v>20</x:v>
      </x:c>
      <x:c r="E34" s="16">
        <x:v>2</x:v>
      </x:c>
    </x:row>
    <x:row r="35">
      <x:c r="A35" s="17">
        <x:v>45933</x:v>
      </x:c>
      <x:c r="B35" s="16" t="s">
        <x:v>289</x:v>
      </x:c>
      <x:c r="C35" s="16" t="s">
        <x:v>290</x:v>
      </x:c>
      <x:c r="D35" s="16" t="s">
        <x:v>20</x:v>
      </x:c>
      <x:c r="E35" s="16">
        <x:v>2</x:v>
      </x:c>
    </x:row>
    <x:row r="36">
      <x:c r="A36" s="17">
        <x:v>45933</x:v>
      </x:c>
      <x:c r="B36" s="16" t="s">
        <x:v>291</x:v>
      </x:c>
      <x:c r="C36" s="16" t="s">
        <x:v>232</x:v>
      </x:c>
      <x:c r="D36" s="16" t="s">
        <x:v>20</x:v>
      </x:c>
      <x:c r="E36" s="16">
        <x:v>7</x:v>
      </x:c>
    </x:row>
    <x:row r="37">
      <x:c r="A37" s="17">
        <x:v>45933</x:v>
      </x:c>
      <x:c r="B37" s="16" t="s">
        <x:v>292</x:v>
      </x:c>
      <x:c r="C37" s="16" t="s">
        <x:v>293</x:v>
      </x:c>
      <x:c r="D37" s="16" t="s">
        <x:v>20</x:v>
      </x:c>
      <x:c r="E37" s="16">
        <x:v>50</x:v>
      </x:c>
    </x:row>
    <x:row r="38">
      <x:c r="A38" s="17">
        <x:v>45933</x:v>
      </x:c>
      <x:c r="B38" s="16" t="s">
        <x:v>294</x:v>
      </x:c>
      <x:c r="C38" s="16" t="s">
        <x:v>295</x:v>
      </x:c>
      <x:c r="D38" s="16" t="s">
        <x:v>41</x:v>
      </x:c>
      <x:c r="E38" s="16">
        <x:v>24</x:v>
      </x:c>
    </x:row>
    <x:row r="39">
      <x:c r="A39" s="17">
        <x:v>45933</x:v>
      </x:c>
      <x:c r="B39" s="16" t="s">
        <x:v>296</x:v>
      </x:c>
      <x:c r="C39" s="16" t="s">
        <x:v>297</x:v>
      </x:c>
      <x:c r="D39" s="16" t="s">
        <x:v>20</x:v>
      </x:c>
      <x:c r="E39" s="16">
        <x:v>4</x:v>
      </x:c>
    </x:row>
    <x:row r="40">
      <x:c r="A40" s="17">
        <x:v>45933</x:v>
      </x:c>
      <x:c r="B40" s="16" t="s">
        <x:v>298</x:v>
      </x:c>
      <x:c r="C40" s="16" t="s">
        <x:v>279</x:v>
      </x:c>
      <x:c r="D40" s="16" t="s">
        <x:v>41</x:v>
      </x:c>
      <x:c r="E40" s="16">
        <x:v>24</x:v>
      </x:c>
    </x:row>
    <x:row r="41">
      <x:c r="A41" s="17">
        <x:v>45933</x:v>
      </x:c>
      <x:c r="B41" s="16" t="s">
        <x:v>299</x:v>
      </x:c>
      <x:c r="C41" s="16" t="s">
        <x:v>300</x:v>
      </x:c>
      <x:c r="D41" s="16" t="s">
        <x:v>20</x:v>
      </x:c>
      <x:c r="E41" s="16">
        <x:v>1</x:v>
      </x:c>
    </x:row>
    <x:row r="42">
      <x:c r="A42" s="17">
        <x:v>45933</x:v>
      </x:c>
      <x:c r="B42" s="16" t="s">
        <x:v>301</x:v>
      </x:c>
      <x:c r="C42" s="16" t="s">
        <x:v>295</x:v>
      </x:c>
      <x:c r="D42" s="16" t="s">
        <x:v>41</x:v>
      </x:c>
      <x:c r="E42" s="16">
        <x:v>4</x:v>
      </x:c>
    </x:row>
    <x:row r="43">
      <x:c r="A43" s="17">
        <x:v>45933</x:v>
      </x:c>
      <x:c r="B43" s="16" t="s">
        <x:v>302</x:v>
      </x:c>
      <x:c r="C43" s="16" t="s">
        <x:v>303</x:v>
      </x:c>
      <x:c r="D43" s="16" t="s">
        <x:v>20</x:v>
      </x:c>
      <x:c r="E43" s="16">
        <x:v>7</x:v>
      </x:c>
    </x:row>
    <x:row r="44">
      <x:c r="A44" s="17">
        <x:v>45933</x:v>
      </x:c>
      <x:c r="B44" s="16" t="s">
        <x:v>304</x:v>
      </x:c>
      <x:c r="C44" s="16" t="s">
        <x:v>305</x:v>
      </x:c>
      <x:c r="D44" s="16" t="s">
        <x:v>20</x:v>
      </x:c>
      <x:c r="E44" s="16">
        <x:v>1</x:v>
      </x:c>
    </x:row>
    <x:row r="45">
      <x:c r="A45" s="17">
        <x:v>45933</x:v>
      </x:c>
      <x:c r="B45" s="16" t="s">
        <x:v>306</x:v>
      </x:c>
      <x:c r="C45" s="16" t="s">
        <x:v>293</x:v>
      </x:c>
      <x:c r="D45" s="16" t="s">
        <x:v>20</x:v>
      </x:c>
      <x:c r="E45" s="16">
        <x:v>50</x:v>
      </x:c>
    </x:row>
    <x:row r="46">
      <x:c r="A46" s="17">
        <x:v>45933</x:v>
      </x:c>
      <x:c r="B46" s="16" t="s">
        <x:v>307</x:v>
      </x:c>
      <x:c r="C46" s="16" t="s">
        <x:v>308</x:v>
      </x:c>
      <x:c r="D46" s="16" t="s">
        <x:v>20</x:v>
      </x:c>
      <x:c r="E46" s="16">
        <x:v>5</x:v>
      </x:c>
    </x:row>
    <x:row r="47" ht="15.75">
      <x:c r="A47" s="17">
        <x:v>46056</x:v>
      </x:c>
      <x:c r="B47" s="37" t="s">
        <x:v>21</x:v>
      </x:c>
      <x:c r="C47" s="57" t="s">
        <x:v>22</x:v>
      </x:c>
      <x:c r="D47" s="57" t="s">
        <x:v>309</x:v>
      </x:c>
      <x:c r="E47" s="57">
        <x:v>6</x:v>
      </x:c>
    </x:row>
    <x:row r="48" ht="15.75">
      <x:c r="A48" s="17">
        <x:v>46056</x:v>
      </x:c>
      <x:c r="B48" s="37" t="s">
        <x:v>23</x:v>
      </x:c>
      <x:c r="C48" s="16" t="s">
        <x:v>24</x:v>
      </x:c>
      <x:c r="D48" s="16" t="s">
        <x:v>309</x:v>
      </x:c>
      <x:c r="E48" s="16">
        <x:v>5</x:v>
      </x:c>
    </x:row>
    <x:row r="49" ht="15.75">
      <x:c r="A49" s="17">
        <x:v>46056</x:v>
      </x:c>
      <x:c r="B49" s="54" t="s">
        <x:v>27</x:v>
      </x:c>
      <x:c r="C49" s="16" t="s">
        <x:v>28</x:v>
      </x:c>
      <x:c r="D49" s="16" t="s">
        <x:v>309</x:v>
      </x:c>
      <x:c r="E49" s="16">
        <x:v>36</x:v>
      </x:c>
    </x:row>
    <x:row r="50" ht="15.75">
      <x:c r="A50" s="17">
        <x:v>46056</x:v>
      </x:c>
      <x:c r="B50" s="54" t="s">
        <x:v>29</x:v>
      </x:c>
      <x:c r="C50" s="16" t="s">
        <x:v>30</x:v>
      </x:c>
      <x:c r="D50" s="16" t="s">
        <x:v>309</x:v>
      </x:c>
      <x:c r="E50" s="16">
        <x:v>24</x:v>
      </x:c>
    </x:row>
    <x:row r="51" ht="15.75">
      <x:c r="A51" s="17">
        <x:v>46056</x:v>
      </x:c>
      <x:c r="B51" s="54" t="s">
        <x:v>52</x:v>
      </x:c>
      <x:c r="C51" s="16" t="s">
        <x:v>53</x:v>
      </x:c>
      <x:c r="D51" s="16" t="s">
        <x:v>41</x:v>
      </x:c>
      <x:c r="E51" s="16">
        <x:v>75</x:v>
      </x:c>
    </x:row>
    <x:row r="52" ht="15.75">
      <x:c r="A52" s="17">
        <x:v>46056</x:v>
      </x:c>
      <x:c r="B52" s="54" t="s">
        <x:v>78</x:v>
      </x:c>
      <x:c r="C52" s="16" t="s">
        <x:v>79</x:v>
      </x:c>
      <x:c r="D52" s="16" t="s">
        <x:v>41</x:v>
      </x:c>
      <x:c r="E52" s="16">
        <x:v>70</x:v>
      </x:c>
    </x:row>
    <x:row r="53">
      <x:c r="A53" s="17">
        <x:v>46056</x:v>
      </x:c>
      <x:c r="B53" s="16" t="s">
        <x:v>82</x:v>
      </x:c>
      <x:c r="C53" s="16" t="s">
        <x:v>83</x:v>
      </x:c>
      <x:c r="D53" s="16" t="s">
        <x:v>41</x:v>
      </x:c>
      <x:c r="E53" s="16">
        <x:v>8</x:v>
      </x:c>
    </x:row>
    <x:row r="54">
      <x:c r="A54" s="17">
        <x:v>46056</x:v>
      </x:c>
      <x:c r="B54" s="16" t="s">
        <x:v>84</x:v>
      </x:c>
      <x:c r="C54" s="16" t="s">
        <x:v>85</x:v>
      </x:c>
      <x:c r="D54" s="16" t="s">
        <x:v>41</x:v>
      </x:c>
      <x:c r="E54" s="16">
        <x:v>50</x:v>
      </x:c>
    </x:row>
    <x:row r="55" ht="15.75">
      <x:c r="A55" s="17">
        <x:v>46056</x:v>
      </x:c>
      <x:c r="B55" s="54" t="s">
        <x:v>88</x:v>
      </x:c>
      <x:c r="C55" s="16" t="s">
        <x:v>89</x:v>
      </x:c>
      <x:c r="D55" s="16" t="s">
        <x:v>309</x:v>
      </x:c>
      <x:c r="E55" s="16">
        <x:v>10</x:v>
      </x:c>
    </x:row>
    <x:row r="56" ht="15.75">
      <x:c r="A56" s="17">
        <x:v>46056</x:v>
      </x:c>
      <x:c r="B56" s="54" t="s">
        <x:v>90</x:v>
      </x:c>
      <x:c r="C56" s="16" t="s">
        <x:v>91</x:v>
      </x:c>
      <x:c r="D56" s="16" t="s">
        <x:v>309</x:v>
      </x:c>
      <x:c r="E56" s="16">
        <x:v>4</x:v>
      </x:c>
    </x:row>
    <x:row r="57" ht="15.75">
      <x:c r="A57" s="17">
        <x:v>46056</x:v>
      </x:c>
      <x:c r="B57" s="54" t="s">
        <x:v>98</x:v>
      </x:c>
      <x:c r="C57" s="16" t="s">
        <x:v>99</x:v>
      </x:c>
      <x:c r="D57" s="16" t="s">
        <x:v>309</x:v>
      </x:c>
      <x:c r="E57" s="16">
        <x:v>2</x:v>
      </x:c>
    </x:row>
    <x:row r="58" ht="15.75">
      <x:c r="A58" s="17">
        <x:v>46056</x:v>
      </x:c>
      <x:c r="B58" s="54" t="s">
        <x:v>106</x:v>
      </x:c>
      <x:c r="C58" s="16" t="s">
        <x:v>107</x:v>
      </x:c>
      <x:c r="D58" s="16" t="s">
        <x:v>309</x:v>
      </x:c>
      <x:c r="E58" s="16">
        <x:v>1</x:v>
      </x:c>
    </x:row>
    <x:row r="59" ht="15.75">
      <x:c r="A59" s="17">
        <x:v>46056</x:v>
      </x:c>
      <x:c r="B59" s="54" t="s">
        <x:v>114</x:v>
      </x:c>
      <x:c r="C59" s="16" t="s">
        <x:v>115</x:v>
      </x:c>
      <x:c r="D59" s="16" t="s">
        <x:v>309</x:v>
      </x:c>
      <x:c r="E59" s="16">
        <x:v>2</x:v>
      </x:c>
    </x:row>
    <x:row r="60" ht="15.75">
      <x:c r="A60" s="17">
        <x:v>46056</x:v>
      </x:c>
      <x:c r="B60" s="54" t="s">
        <x:v>128</x:v>
      </x:c>
      <x:c r="C60" s="16" t="s">
        <x:v>129</x:v>
      </x:c>
      <x:c r="D60" s="16" t="s">
        <x:v>309</x:v>
      </x:c>
      <x:c r="E60" s="16">
        <x:v>4</x:v>
      </x:c>
    </x:row>
    <x:row r="61" ht="15.75">
      <x:c r="A61" s="17">
        <x:v>46056</x:v>
      </x:c>
      <x:c r="B61" s="54" t="s">
        <x:v>130</x:v>
      </x:c>
      <x:c r="C61" s="16" t="s">
        <x:v>131</x:v>
      </x:c>
      <x:c r="D61" s="16" t="s">
        <x:v>309</x:v>
      </x:c>
      <x:c r="E61" s="16">
        <x:v>2</x:v>
      </x:c>
    </x:row>
    <x:row r="62">
      <x:c r="A62" s="17">
        <x:v>46094</x:v>
      </x:c>
      <x:c r="B62" s="16" t="s">
        <x:v>27</x:v>
      </x:c>
      <x:c r="C62" s="16" t="s">
        <x:v>28</x:v>
      </x:c>
      <x:c r="D62" s="16" t="s">
        <x:v>309</x:v>
      </x:c>
      <x:c r="E62" s="16">
        <x:v>10</x:v>
      </x:c>
    </x:row>
    <x:row r="63">
      <x:c r="A63" s="17">
        <x:v>46094</x:v>
      </x:c>
      <x:c r="B63" s="16" t="s">
        <x:v>29</x:v>
      </x:c>
      <x:c r="C63" s="16" t="s">
        <x:v>30</x:v>
      </x:c>
      <x:c r="D63" s="16" t="s">
        <x:v>309</x:v>
      </x:c>
      <x:c r="E63" s="16">
        <x:v>10</x:v>
      </x:c>
    </x:row>
    <x:row r="64">
      <x:c r="A64" s="17">
        <x:v>46094</x:v>
      </x:c>
      <x:c r="B64" s="16" t="s">
        <x:v>37</x:v>
      </x:c>
      <x:c r="C64" s="16" t="s">
        <x:v>38</x:v>
      </x:c>
      <x:c r="D64" s="16" t="s">
        <x:v>309</x:v>
      </x:c>
      <x:c r="E64" s="16">
        <x:v>2</x:v>
      </x:c>
    </x:row>
    <x:row r="65">
      <x:c r="A65" s="17">
        <x:v>46094</x:v>
      </x:c>
      <x:c r="B65" s="16" t="s">
        <x:v>52</x:v>
      </x:c>
      <x:c r="C65" s="16" t="s">
        <x:v>53</x:v>
      </x:c>
      <x:c r="D65" s="16" t="s">
        <x:v>41</x:v>
      </x:c>
      <x:c r="E65" s="16">
        <x:v>50</x:v>
      </x:c>
    </x:row>
    <x:row r="66">
      <x:c r="A66" s="17">
        <x:v>46094</x:v>
      </x:c>
      <x:c r="B66" s="16" t="s">
        <x:v>76</x:v>
      </x:c>
      <x:c r="C66" s="16" t="s">
        <x:v>77</x:v>
      </x:c>
      <x:c r="D66" s="16" t="s">
        <x:v>41</x:v>
      </x:c>
      <x:c r="E66" s="16">
        <x:v>10</x:v>
      </x:c>
    </x:row>
    <x:row r="67">
      <x:c r="A67" s="17">
        <x:v>46094</x:v>
      </x:c>
      <x:c r="B67" s="16" t="s">
        <x:v>114</x:v>
      </x:c>
      <x:c r="C67" s="16" t="s">
        <x:v>115</x:v>
      </x:c>
      <x:c r="D67" s="16" t="s">
        <x:v>309</x:v>
      </x:c>
      <x:c r="E67" s="16">
        <x:v>2</x:v>
      </x:c>
    </x:row>
    <x:row r="68">
      <x:c r="A68" s="17">
        <x:v>46094</x:v>
      </x:c>
      <x:c r="B68" s="16" t="s">
        <x:v>82</x:v>
      </x:c>
      <x:c r="C68" s="16" t="s">
        <x:v>83</x:v>
      </x:c>
      <x:c r="D68" s="16" t="s">
        <x:v>41</x:v>
      </x:c>
      <x:c r="E68" s="16">
        <x:v>5</x:v>
      </x:c>
    </x:row>
    <x:row r="69">
      <x:c r="A69" s="17">
        <x:v>46109</x:v>
      </x:c>
      <x:c r="B69" s="16" t="s">
        <x:v>21</x:v>
      </x:c>
      <x:c r="C69" s="16" t="s">
        <x:v>22</x:v>
      </x:c>
      <x:c r="D69" s="16" t="s">
        <x:v>309</x:v>
      </x:c>
      <x:c r="E69" s="16">
        <x:v>10</x:v>
      </x:c>
    </x:row>
    <x:row r="70">
      <x:c r="A70" s="17">
        <x:v>46109</x:v>
      </x:c>
      <x:c r="B70" s="16" t="s">
        <x:v>78</x:v>
      </x:c>
      <x:c r="C70" s="16" t="s">
        <x:v>79</x:v>
      </x:c>
      <x:c r="D70" s="16" t="s">
        <x:v>41</x:v>
      </x:c>
      <x:c r="E70" s="16">
        <x:v>10</x:v>
      </x:c>
    </x:row>
    <x:row r="71">
      <x:c r="A71" s="17">
        <x:v>46123</x:v>
      </x:c>
      <x:c r="B71" s="16" t="s">
        <x:v>42</x:v>
      </x:c>
      <x:c r="C71" s="16" t="s">
        <x:v>43</x:v>
      </x:c>
      <x:c r="D71" s="16" t="s">
        <x:v>41</x:v>
      </x:c>
      <x:c r="E71" s="16">
        <x:v>1</x:v>
      </x:c>
    </x:row>
    <x:row r="72">
      <x:c r="A72" s="17">
        <x:v>46123</x:v>
      </x:c>
      <x:c r="B72" s="16" t="s">
        <x:v>106</x:v>
      </x:c>
      <x:c r="C72" s="16" t="s">
        <x:v>107</x:v>
      </x:c>
      <x:c r="D72" s="16" t="s">
        <x:v>309</x:v>
      </x:c>
      <x:c r="E72" s="16">
        <x:v>1</x:v>
      </x:c>
    </x:row>
    <x:row r="73">
      <x:c r="A73" s="17">
        <x:v>46123</x:v>
      </x:c>
      <x:c r="B73" s="16" t="s">
        <x:v>110</x:v>
      </x:c>
      <x:c r="C73" s="16" t="s">
        <x:v>111</x:v>
      </x:c>
      <x:c r="D73" s="16" t="s">
        <x:v>309</x:v>
      </x:c>
      <x:c r="E73" s="16">
        <x:v>1</x:v>
      </x:c>
    </x:row>
    <x:row r="74">
      <x:c r="A74" s="17">
        <x:v>46152</x:v>
      </x:c>
      <x:c r="B74" s="16" t="s">
        <x:v>106</x:v>
      </x:c>
      <x:c r="C74" s="16" t="s">
        <x:v>107</x:v>
      </x:c>
      <x:c r="D74" s="16" t="s">
        <x:v>309</x:v>
      </x:c>
      <x:c r="E74" s="16">
        <x:v>2</x:v>
      </x:c>
    </x:row>
    <x:row r="75">
      <x:c r="A75" s="17">
        <x:v>46152</x:v>
      </x:c>
      <x:c r="B75" s="16" t="s">
        <x:v>108</x:v>
      </x:c>
      <x:c r="C75" s="16" t="s">
        <x:v>109</x:v>
      </x:c>
      <x:c r="D75" s="16" t="s">
        <x:v>309</x:v>
      </x:c>
      <x:c r="E75" s="16">
        <x:v>2</x:v>
      </x:c>
    </x:row>
    <x:row r="76">
      <x:c r="A76" s="17">
        <x:v>46152</x:v>
      </x:c>
      <x:c r="B76" s="16" t="s">
        <x:v>114</x:v>
      </x:c>
      <x:c r="C76" s="16" t="s">
        <x:v>115</x:v>
      </x:c>
      <x:c r="D76" s="16" t="s">
        <x:v>309</x:v>
      </x:c>
      <x:c r="E76" s="16">
        <x:v>2</x:v>
      </x:c>
    </x:row>
    <x:row r="77">
      <x:c r="A77" s="17">
        <x:v>46152</x:v>
      </x:c>
      <x:c r="B77" s="16" t="s">
        <x:v>116</x:v>
      </x:c>
      <x:c r="C77" s="16" t="s">
        <x:v>117</x:v>
      </x:c>
      <x:c r="D77" s="16" t="s">
        <x:v>309</x:v>
      </x:c>
      <x:c r="E77" s="16">
        <x:v>5</x:v>
      </x:c>
    </x:row>
    <x:row r="78">
      <x:c r="A78" s="17">
        <x:v>46152</x:v>
      </x:c>
      <x:c r="B78" s="16" t="s">
        <x:v>128</x:v>
      </x:c>
      <x:c r="C78" s="16" t="s">
        <x:v>129</x:v>
      </x:c>
      <x:c r="D78" s="16" t="s">
        <x:v>309</x:v>
      </x:c>
      <x:c r="E78" s="16">
        <x:v>2</x:v>
      </x:c>
    </x:row>
    <x:row r="79">
      <x:c r="A79" s="17">
        <x:v>46152</x:v>
      </x:c>
      <x:c r="B79" s="16" t="s">
        <x:v>130</x:v>
      </x:c>
      <x:c r="C79" s="16" t="s">
        <x:v>131</x:v>
      </x:c>
      <x:c r="D79" s="16" t="s">
        <x:v>309</x:v>
      </x:c>
      <x:c r="E79" s="16">
        <x:v>1</x:v>
      </x:c>
    </x:row>
    <x:row r="80">
      <x:c r="A80" s="17">
        <x:v>46152</x:v>
      </x:c>
      <x:c r="B80" s="16" t="s">
        <x:v>52</x:v>
      </x:c>
      <x:c r="C80" s="16" t="s">
        <x:v>53</x:v>
      </x:c>
      <x:c r="D80" s="16" t="s">
        <x:v>41</x:v>
      </x:c>
      <x:c r="E80" s="16">
        <x:v>50</x:v>
      </x:c>
    </x:row>
    <x:row r="81">
      <x:c r="A81" s="17">
        <x:v>46152</x:v>
      </x:c>
      <x:c r="B81" s="16" t="s">
        <x:v>78</x:v>
      </x:c>
      <x:c r="C81" s="16" t="s">
        <x:v>79</x:v>
      </x:c>
      <x:c r="D81" s="16" t="s">
        <x:v>41</x:v>
      </x:c>
      <x:c r="E81" s="16">
        <x:v>11</x:v>
      </x:c>
    </x:row>
    <x:row r="82">
      <x:c r="A82" s="17">
        <x:v>46152</x:v>
      </x:c>
      <x:c r="B82" s="16" t="s">
        <x:v>86</x:v>
      </x:c>
      <x:c r="C82" s="16" t="s">
        <x:v>87</x:v>
      </x:c>
      <x:c r="D82" s="16" t="s">
        <x:v>41</x:v>
      </x:c>
      <x:c r="E82" s="16">
        <x:v>20</x:v>
      </x:c>
    </x:row>
    <x:row r="83">
      <x:c r="A83" s="17">
        <x:v>46152</x:v>
      </x:c>
      <x:c r="B83" s="16" t="s">
        <x:v>42</x:v>
      </x:c>
      <x:c r="C83" s="16" t="s">
        <x:v>43</x:v>
      </x:c>
      <x:c r="D83" s="16" t="s">
        <x:v>41</x:v>
      </x:c>
      <x:c r="E83" s="16">
        <x:v>1</x:v>
      </x:c>
    </x:row>
    <x:row r="84">
      <x:c r="A84" s="17">
        <x:v>46152</x:v>
      </x:c>
      <x:c r="B84" s="16" t="s">
        <x:v>106</x:v>
      </x:c>
      <x:c r="C84" s="16" t="s">
        <x:v>107</x:v>
      </x:c>
      <x:c r="D84" s="16" t="s">
        <x:v>309</x:v>
      </x:c>
      <x:c r="E84" s="16">
        <x:v>2</x:v>
      </x:c>
    </x:row>
    <x:row r="85">
      <x:c r="A85" s="17">
        <x:v>46152</x:v>
      </x:c>
      <x:c r="B85" s="16" t="s">
        <x:v>110</x:v>
      </x:c>
      <x:c r="C85" s="16" t="s">
        <x:v>111</x:v>
      </x:c>
      <x:c r="D85" s="16" t="s">
        <x:v>309</x:v>
      </x:c>
      <x:c r="E85" s="16">
        <x:v>2</x:v>
      </x:c>
    </x:row>
    <x:row r="86">
      <x:c r="A86" s="17">
        <x:v>46152</x:v>
      </x:c>
      <x:c r="B86" s="16" t="s">
        <x:v>25</x:v>
      </x:c>
      <x:c r="C86" s="16" t="s">
        <x:v>26</x:v>
      </x:c>
      <x:c r="D86" s="16" t="s">
        <x:v>309</x:v>
      </x:c>
      <x:c r="E86" s="16">
        <x:v>3</x:v>
      </x:c>
    </x:row>
    <x:row r="87">
      <x:c r="A87" s="17">
        <x:v>46154</x:v>
      </x:c>
      <x:c r="B87" s="16" t="s">
        <x:v>23</x:v>
      </x:c>
      <x:c r="C87" s="16" t="s">
        <x:v>24</x:v>
      </x:c>
      <x:c r="D87" s="16" t="s">
        <x:v>309</x:v>
      </x:c>
      <x:c r="E87" s="16">
        <x:v>13</x:v>
      </x:c>
    </x:row>
    <x:row r="88">
      <x:c r="A88" s="17">
        <x:v>46158</x:v>
      </x:c>
      <x:c r="B88" s="16" t="s">
        <x:v>122</x:v>
      </x:c>
      <x:c r="C88" s="16" t="s">
        <x:v>123</x:v>
      </x:c>
      <x:c r="D88" s="16" t="s">
        <x:v>309</x:v>
      </x:c>
      <x:c r="E88" s="16">
        <x:v>1</x:v>
      </x:c>
    </x:row>
    <x:row r="89">
      <x:c r="A89" s="17">
        <x:v>46158</x:v>
      </x:c>
      <x:c r="B89" s="16" t="s">
        <x:v>104</x:v>
      </x:c>
      <x:c r="C89" s="16" t="s">
        <x:v>105</x:v>
      </x:c>
      <x:c r="D89" s="16" t="s">
        <x:v>309</x:v>
      </x:c>
      <x:c r="E89" s="16">
        <x:v>4</x:v>
      </x:c>
    </x:row>
    <x:row r="90">
      <x:c r="A90" s="17">
        <x:v>46158</x:v>
      </x:c>
      <x:c r="B90" s="16" t="s">
        <x:v>92</x:v>
      </x:c>
      <x:c r="C90" s="16" t="s">
        <x:v>247</x:v>
      </x:c>
      <x:c r="D90" s="16" t="s">
        <x:v>41</x:v>
      </x:c>
      <x:c r="E90" s="16">
        <x:v>1</x:v>
      </x:c>
    </x:row>
    <x:row r="91">
      <x:c r="A91" s="17">
        <x:v>46179</x:v>
      </x:c>
      <x:c r="B91" s="16" t="s">
        <x:v>78</x:v>
      </x:c>
      <x:c r="C91" s="16" t="str">
        <x:f>IFERROR(VLOOKUP(B91,'EPP'!$B$7:$D$64,2,FALSE),"")</x:f>
        <x:v>GUANTE KIM- NITRILO ARENADO T9</x:v>
      </x:c>
      <x:c r="D91" s="16" t="str">
        <x:f>IFERROR(VLOOKUP(B91,'EPP'!$B$7:$D$64,3,FALSE),"")</x:f>
        <x:v>Par</x:v>
      </x:c>
      <x:c r="E91" s="16">
        <x:v>30</x:v>
      </x:c>
    </x:row>
    <x:row r="92">
      <x:c r="A92" s="91" t="n">
        <x:v>46213</x:v>
      </x:c>
      <x:c r="B92" s="92" t="str">
        <x:v>PC18</x:v>
      </x:c>
      <x:c r="C92" s="92" t="str">
        <x:f>IFERROR(VLOOKUP(B92,'EPP'!$B$7:$D$64,2,FALSE),"")</x:f>
        <x:v>IMPERMEABLE XL</x:v>
      </x:c>
      <x:c r="D92" s="92" t="str">
        <x:f>IFERROR(VLOOKUP(B92,'EPP'!$B$7:$D$64,3,FALSE),"")</x:f>
        <x:v>Unidad </x:v>
      </x:c>
      <x:c r="E92" s="92" t="n">
        <x:v>5</x:v>
      </x:c>
    </x:row>
    <x:row r="93">
      <x:c r="A93" s="91" t="n">
        <x:v>46213</x:v>
      </x:c>
      <x:c r="B93" s="92" t="str">
        <x:v>PC20</x:v>
      </x:c>
      <x:c r="C93" s="92" t="str">
        <x:f>IFERROR(VLOOKUP(B93,'EPP'!$B$7:$D$64,2,FALSE),"")</x:f>
        <x:v>IMPERMEABLE M</x:v>
      </x:c>
      <x:c r="D93" s="92" t="str">
        <x:f>IFERROR(VLOOKUP(B93,'EPP'!$B$7:$D$64,3,FALSE),"")</x:f>
        <x:v>Unidad </x:v>
      </x:c>
      <x:c r="E93" s="92" t="n">
        <x:v>5</x:v>
      </x:c>
    </x:row>
    <x:row r="94">
      <x:c r="A94" s="91" t="n">
        <x:v>46213</x:v>
      </x:c>
      <x:c r="B94" s="92" t="str">
        <x:v>PC09</x:v>
      </x:c>
      <x:c r="C94" s="92" t="str">
        <x:f>IFERROR(VLOOKUP(B94,'EPP'!$B$7:$D$64,2,FALSE),"")</x:f>
        <x:v>OVEROL ANTIFUIDO INDUSTRIAL TL</x:v>
      </x:c>
      <x:c r="D94" s="92" t="str">
        <x:f>IFERROR(VLOOKUP(B94,'EPP'!$B$7:$D$64,3,FALSE),"")</x:f>
        <x:v>Unidad </x:v>
      </x:c>
      <x:c r="E94" s="92" t="n">
        <x:v>3</x:v>
      </x:c>
    </x:row>
    <x:row r="95">
      <x:c r="A95" s="91" t="n">
        <x:v>46213</x:v>
      </x:c>
      <x:c r="B95" s="92" t="str">
        <x:v>PC08</x:v>
      </x:c>
      <x:c r="C95" s="92" t="str">
        <x:f>IFERROR(VLOOKUP(B95,'EPP'!$B$7:$D$64,2,FALSE),"")</x:f>
        <x:v>OVEROL ANTIFUIDO INDUSTRIAL TM</x:v>
      </x:c>
      <x:c r="D95" s="92" t="str">
        <x:f>IFERROR(VLOOKUP(B95,'EPP'!$B$7:$D$64,3,FALSE),"")</x:f>
        <x:v>Unidad </x:v>
      </x:c>
      <x:c r="E95" s="92" t="n">
        <x:v>3</x:v>
      </x:c>
    </x:row>
    <x:row r="96">
      <x:c r="A96" s="91" t="n">
        <x:v>46213</x:v>
      </x:c>
      <x:c r="B96" s="92" t="str">
        <x:v>PC10</x:v>
      </x:c>
      <x:c r="C96" s="92" t="str">
        <x:f>IFERROR(VLOOKUP(B96,'EPP'!$B$7:$D$64,2,FALSE),"")</x:f>
        <x:v>OVEROL ANTIFUIDO INDUSTRIAL TXL</x:v>
      </x:c>
      <x:c r="D96" s="92" t="str">
        <x:f>IFERROR(VLOOKUP(B96,'EPP'!$B$7:$D$64,3,FALSE),"")</x:f>
        <x:v>Unidad </x:v>
      </x:c>
      <x:c r="E96" s="92" t="n">
        <x:v>2</x:v>
      </x:c>
    </x:row>
    <x:row r="97">
      <x:c r="A97" s="91" t="n">
        <x:v>46213</x:v>
      </x:c>
      <x:c r="B97" s="92" t="str">
        <x:v>PC12</x:v>
      </x:c>
      <x:c r="C97" s="92" t="str">
        <x:f>IFERROR(VLOOKUP(B97,'EPP'!$B$7:$D$64,2,FALSE),"")</x:f>
        <x:v>OVEROL DESCARTABLE TM</x:v>
      </x:c>
      <x:c r="D97" s="92" t="str">
        <x:f>IFERROR(VLOOKUP(B97,'EPP'!$B$7:$D$64,3,FALSE),"")</x:f>
        <x:v>Unidad </x:v>
      </x:c>
      <x:c r="E97" s="92" t="n">
        <x:v>5</x:v>
      </x:c>
    </x:row>
    <x:row r="98">
      <x:c r="A98" s="91" t="n">
        <x:v>46213</x:v>
      </x:c>
      <x:c r="B98" s="92" t="str">
        <x:v>PC13</x:v>
      </x:c>
      <x:c r="C98" s="92" t="str">
        <x:f>IFERROR(VLOOKUP(B98,'EPP'!$B$7:$D$64,2,FALSE),"")</x:f>
        <x:v>OVEROL DESCARTABLE TL</x:v>
      </x:c>
      <x:c r="D98" s="92" t="str">
        <x:f>IFERROR(VLOOKUP(B98,'EPP'!$B$7:$D$64,3,FALSE),"")</x:f>
        <x:v>Unidad </x:v>
      </x:c>
      <x:c r="E98" s="92" t="n">
        <x:v>5</x:v>
      </x:c>
    </x:row>
    <x:row r="99">
      <x:c r="A99" s="91" t="n">
        <x:v>46213</x:v>
      </x:c>
      <x:c r="B99" s="92" t="str">
        <x:v>PV02</x:v>
      </x:c>
      <x:c r="C99" s="92" t="str">
        <x:f>IFERROR(VLOOKUP(B99,'EPP'!$B$7:$D$64,2,FALSE),"")</x:f>
        <x:v>GAFAS LENTE CLARO</x:v>
      </x:c>
      <x:c r="D99" s="92" t="str">
        <x:f>IFERROR(VLOOKUP(B99,'EPP'!$B$7:$D$64,3,FALSE),"")</x:f>
        <x:v>Unidad </x:v>
      </x:c>
      <x:c r="E99" s="92" t="n">
        <x:v>25</x:v>
      </x:c>
    </x:row>
    <x:row r="100">
      <x:c r="A100" s="91" t="n">
        <x:v>46213</x:v>
      </x:c>
      <x:c r="B100" s="92" t="str">
        <x:v>PV01</x:v>
      </x:c>
      <x:c r="C100" s="92" t="str">
        <x:f>IFERROR(VLOOKUP(B100,'EPP'!$B$7:$D$64,2,FALSE),"")</x:f>
        <x:v>GAFAS LENTE OSCURO</x:v>
      </x:c>
      <x:c r="D100" s="92" t="str">
        <x:f>IFERROR(VLOOKUP(B100,'EPP'!$B$7:$D$64,3,FALSE),"")</x:f>
        <x:v>Unidad </x:v>
      </x:c>
      <x:c r="E100" s="92" t="n">
        <x:v>18</x:v>
      </x:c>
    </x:row>
    <x:row r="101">
      <x:c r="A101" s="91" t="n">
        <x:v>46213</x:v>
      </x:c>
      <x:c r="B101" s="92" t="str">
        <x:v>PC05</x:v>
      </x:c>
      <x:c r="C101" s="92" t="str">
        <x:f>IFERROR(VLOOKUP(B101,'EPP'!$B$7:$D$64,2,FALSE),"")</x:f>
        <x:v>DELANTAL PARA USO INDUSTRIAL LARGO C25</x:v>
      </x:c>
      <x:c r="D101" s="92" t="str">
        <x:f>IFERROR(VLOOKUP(B101,'EPP'!$B$7:$D$64,3,FALSE),"")</x:f>
        <x:v>Unidad </x:v>
      </x:c>
      <x:c r="E101" s="92" t="n">
        <x:v>5</x:v>
      </x:c>
    </x:row>
    <x:row r="102">
      <x:c r="A102" s="91" t="n">
        <x:v>46213</x:v>
      </x:c>
      <x:c r="B102" s="92" t="str">
        <x:v>PF03</x:v>
      </x:c>
      <x:c r="C102" s="92" t="str">
        <x:f>IFERROR(VLOOKUP(B102,'EPP'!$B$7:$D$64,2,FALSE),"")</x:f>
        <x:v>VISOR  MALLA GUADAÑA</x:v>
      </x:c>
      <x:c r="D102" s="92" t="str">
        <x:f>IFERROR(VLOOKUP(B102,'EPP'!$B$7:$D$64,3,FALSE),"")</x:f>
        <x:v>Unidad </x:v>
      </x:c>
      <x:c r="E102" s="92" t="n">
        <x:v>10</x:v>
      </x:c>
    </x:row>
    <x:row r="103">
      <x:c r="A103" s="91" t="n">
        <x:v>46213</x:v>
      </x:c>
      <x:c r="B103" s="92" t="str">
        <x:v>PR01</x:v>
      </x:c>
      <x:c r="C103" s="92" t="str">
        <x:f>IFERROR(VLOOKUP(B103,'EPP'!$B$7:$D$64,2,FALSE),"")</x:f>
        <x:v>MASCARA RESPIRADOR MEDIA CARA 3M 6200 TM </x:v>
      </x:c>
      <x:c r="D103" s="92" t="str">
        <x:f>IFERROR(VLOOKUP(B103,'EPP'!$B$7:$D$64,3,FALSE),"")</x:f>
        <x:v>Par</x:v>
      </x:c>
      <x:c r="E103" s="92" t="n">
        <x:v>3</x:v>
      </x:c>
    </x:row>
    <x:row r="104">
      <x:c r="A104" s="91" t="n">
        <x:v>46213</x:v>
      </x:c>
      <x:c r="B104" s="92" t="str">
        <x:v>PR03</x:v>
      </x:c>
      <x:c r="C104" s="92" t="str">
        <x:f>IFERROR(VLOOKUP(B104,'EPP'!$B$7:$D$64,2,FALSE),"")</x:f>
        <x:v>FILTROS PARA MASCARA 2097</x:v>
      </x:c>
      <x:c r="D104" s="92" t="str">
        <x:f>IFERROR(VLOOKUP(B104,'EPP'!$B$7:$D$64,3,FALSE),"")</x:f>
        <x:v>Unidad </x:v>
      </x:c>
      <x:c r="E104" s="92" t="n">
        <x:v>3</x:v>
      </x:c>
    </x:row>
    <x:row r="105">
      <x:c r="A105" s="91" t="n">
        <x:v>46213</x:v>
      </x:c>
      <x:c r="B105" s="92" t="str">
        <x:v>PR04</x:v>
      </x:c>
      <x:c r="C105" s="92" t="str">
        <x:f>IFERROR(VLOOKUP(B105,'EPP'!$B$7:$D$64,2,FALSE),"")</x:f>
        <x:v>RESPIRADOR KN95</x:v>
      </x:c>
      <x:c r="D105" s="92" t="str">
        <x:f>IFERROR(VLOOKUP(B105,'EPP'!$B$7:$D$64,3,FALSE),"")</x:f>
        <x:v>Unidad </x:v>
      </x:c>
      <x:c r="E105" s="92" t="n">
        <x:v>10</x:v>
      </x:c>
    </x:row>
    <x:row r="106">
      <x:c r="A106" s="91" t="n">
        <x:v>46213</x:v>
      </x:c>
      <x:c r="B106" s="92" t="str">
        <x:v>PM13</x:v>
      </x:c>
      <x:c r="C106" s="92" t="str">
        <x:f>IFERROR(VLOOKUP(B106,'EPP'!$B$7:$D$64,2,FALSE),"")</x:f>
        <x:v>GUANTE KIM- NITRILO ARENADO T8</x:v>
      </x:c>
      <x:c r="D106" s="92" t="str">
        <x:f>IFERROR(VLOOKUP(B106,'EPP'!$B$7:$D$64,3,FALSE),"")</x:f>
        <x:v>Par</x:v>
      </x:c>
      <x:c r="E106" s="92" t="n">
        <x:v>10</x:v>
      </x:c>
    </x:row>
    <x:row r="107">
      <x:c r="A107" s="91" t="n">
        <x:v>46213</x:v>
      </x:c>
      <x:c r="B107" s="92" t="str">
        <x:v>PM14</x:v>
      </x:c>
      <x:c r="C107" s="92" t="str">
        <x:f>IFERROR(VLOOKUP(B107,'EPP'!$B$7:$D$64,2,FALSE),"")</x:f>
        <x:v>GUANTE KIM- NITRILO ARENADO T9</x:v>
      </x:c>
      <x:c r="D107" s="92" t="str">
        <x:f>IFERROR(VLOOKUP(B107,'EPP'!$B$7:$D$64,3,FALSE),"")</x:f>
        <x:v>Par</x:v>
      </x:c>
      <x:c r="E107" s="92" t="n">
        <x:v>40</x:v>
      </x:c>
    </x:row>
    <x:row r="108">
      <x:c r="C108" s="16" t="e">
        <x:f>VLOOKUP(Tabla2[[#This Row],[CODIGO]],Taller2585[[Código]:[Descripción ]],2,0)</x:f>
        <x:v>#N/A</x:v>
      </x:c>
      <x:c r="D108" s="16" t="e">
        <x:f>VLOOKUP(Tabla2[[#This Row],[CODIGO]],Taller2585[[Código]:[Referencia]],3,0)</x:f>
        <x:v>#N/A</x:v>
      </x:c>
    </x:row>
    <x:row r="109">
      <x:c r="C109" s="16" t="e">
        <x:f>VLOOKUP(Tabla2[[#This Row],[CODIGO]],Taller2585[[Código]:[Descripción ]],2,0)</x:f>
        <x:v>#N/A</x:v>
      </x:c>
      <x:c r="D109" s="16" t="e">
        <x:f>VLOOKUP(Tabla2[[#This Row],[CODIGO]],Taller2585[[Código]:[Referencia]],3,0)</x:f>
        <x:v>#N/A</x:v>
      </x:c>
    </x:row>
    <x:row r="110">
      <x:c r="C110" s="16" t="e">
        <x:f>VLOOKUP(Tabla2[[#This Row],[CODIGO]],Taller2585[[Código]:[Descripción ]],2,0)</x:f>
        <x:v>#N/A</x:v>
      </x:c>
      <x:c r="D110" s="16" t="e">
        <x:f>VLOOKUP(Tabla2[[#This Row],[CODIGO]],Taller2585[[Código]:[Referencia]],3,0)</x:f>
        <x:v>#N/A</x:v>
      </x:c>
    </x:row>
    <x:row r="111">
      <x:c r="C111" s="16" t="e">
        <x:f>VLOOKUP(Tabla2[[#This Row],[CODIGO]],Taller2585[[Código]:[Descripción ]],2,0)</x:f>
        <x:v>#N/A</x:v>
      </x:c>
      <x:c r="D111" s="16" t="e">
        <x:f>VLOOKUP(Tabla2[[#This Row],[CODIGO]],Taller2585[[Código]:[Referencia]],3,0)</x:f>
        <x:v>#N/A</x:v>
      </x:c>
    </x:row>
    <x:row r="112">
      <x:c r="C112" s="16" t="e">
        <x:f>VLOOKUP(Tabla2[[#This Row],[CODIGO]],Taller2585[[Código]:[Descripción ]],2,0)</x:f>
        <x:v>#N/A</x:v>
      </x:c>
      <x:c r="D112" s="16" t="e">
        <x:f>VLOOKUP(Tabla2[[#This Row],[CODIGO]],Taller2585[[Código]:[Referencia]],3,0)</x:f>
        <x:v>#N/A</x:v>
      </x:c>
    </x:row>
    <x:row r="113">
      <x:c r="C113" s="16" t="e">
        <x:f>VLOOKUP(Tabla2[[#This Row],[CODIGO]],Taller2585[[Código]:[Descripción ]],2,0)</x:f>
        <x:v>#N/A</x:v>
      </x:c>
      <x:c r="D113" s="16" t="e">
        <x:f>VLOOKUP(Tabla2[[#This Row],[CODIGO]],Taller2585[[Código]:[Referencia]],3,0)</x:f>
        <x:v>#N/A</x:v>
      </x:c>
    </x:row>
    <x:row r="114">
      <x:c r="C114" s="16" t="e">
        <x:f>VLOOKUP(Tabla2[[#This Row],[CODIGO]],Taller2585[[Código]:[Descripción ]],2,0)</x:f>
        <x:v>#N/A</x:v>
      </x:c>
      <x:c r="D114" s="16" t="e">
        <x:f>VLOOKUP(Tabla2[[#This Row],[CODIGO]],Taller2585[[Código]:[Referencia]],3,0)</x:f>
        <x:v>#N/A</x:v>
      </x:c>
    </x:row>
    <x:row r="115">
      <x:c r="C115" s="16" t="e">
        <x:f>VLOOKUP(Tabla2[[#This Row],[CODIGO]],Taller2585[[Código]:[Descripción ]],2,0)</x:f>
        <x:v>#N/A</x:v>
      </x:c>
      <x:c r="D115" s="16" t="e">
        <x:f>VLOOKUP(Tabla2[[#This Row],[CODIGO]],Taller2585[[Código]:[Referencia]],3,0)</x:f>
        <x:v>#N/A</x:v>
      </x:c>
    </x:row>
    <x:row r="116">
      <x:c r="C116" s="16" t="e">
        <x:f>VLOOKUP(Tabla2[[#This Row],[CODIGO]],Taller2585[[Código]:[Descripción ]],2,0)</x:f>
        <x:v>#N/A</x:v>
      </x:c>
      <x:c r="D116" s="16" t="e">
        <x:f>VLOOKUP(Tabla2[[#This Row],[CODIGO]],Taller2585[[Código]:[Referencia]],3,0)</x:f>
        <x:v>#N/A</x:v>
      </x:c>
    </x:row>
    <x:row r="117">
      <x:c r="C117" s="16" t="e">
        <x:f>VLOOKUP(Tabla2[[#This Row],[CODIGO]],Taller2585[[Código]:[Descripción ]],2,0)</x:f>
        <x:v>#N/A</x:v>
      </x:c>
      <x:c r="D117" s="16" t="e">
        <x:f>VLOOKUP(Tabla2[[#This Row],[CODIGO]],Taller2585[[Código]:[Referencia]],3,0)</x:f>
        <x:v>#N/A</x:v>
      </x:c>
    </x:row>
    <x:row r="118">
      <x:c r="C118" s="16" t="e">
        <x:f>VLOOKUP(Tabla2[[#This Row],[CODIGO]],Taller2585[[Código]:[Descripción ]],2,0)</x:f>
        <x:v>#N/A</x:v>
      </x:c>
      <x:c r="D118" s="16" t="e">
        <x:f>VLOOKUP(Tabla2[[#This Row],[CODIGO]],Taller2585[[Código]:[Referencia]],3,0)</x:f>
        <x:v>#N/A</x:v>
      </x:c>
    </x:row>
    <x:row r="119">
      <x:c r="C119" s="16" t="e">
        <x:f>VLOOKUP(Tabla2[[#This Row],[CODIGO]],Taller2585[[Código]:[Descripción ]],2,0)</x:f>
        <x:v>#N/A</x:v>
      </x:c>
      <x:c r="D119" s="16" t="e">
        <x:f>VLOOKUP(Tabla2[[#This Row],[CODIGO]],Taller2585[[Código]:[Referencia]],3,0)</x:f>
        <x:v>#N/A</x:v>
      </x:c>
    </x:row>
    <x:row r="120">
      <x:c r="C120" s="16" t="e">
        <x:f>VLOOKUP(Tabla2[[#This Row],[CODIGO]],Taller2585[[Código]:[Descripción ]],2,0)</x:f>
        <x:v>#N/A</x:v>
      </x:c>
      <x:c r="D120" s="16" t="e">
        <x:f>VLOOKUP(Tabla2[[#This Row],[CODIGO]],Taller2585[[Código]:[Referencia]],3,0)</x:f>
        <x:v>#N/A</x:v>
      </x:c>
    </x:row>
    <x:row r="121">
      <x:c r="C121" s="16" t="e">
        <x:f>VLOOKUP(Tabla2[[#This Row],[CODIGO]],Taller2585[[Código]:[Descripción ]],2,0)</x:f>
        <x:v>#N/A</x:v>
      </x:c>
      <x:c r="D121" s="16" t="e">
        <x:f>VLOOKUP(Tabla2[[#This Row],[CODIGO]],Taller2585[[Código]:[Referencia]],3,0)</x:f>
        <x:v>#N/A</x:v>
      </x:c>
    </x:row>
    <x:row r="122">
      <x:c r="C122" s="16" t="e">
        <x:f>VLOOKUP(Tabla2[[#This Row],[CODIGO]],Taller2585[[Código]:[Descripción ]],2,0)</x:f>
        <x:v>#N/A</x:v>
      </x:c>
      <x:c r="D122" s="16" t="e">
        <x:f>VLOOKUP(Tabla2[[#This Row],[CODIGO]],Taller2585[[Código]:[Referencia]],3,0)</x:f>
        <x:v>#N/A</x:v>
      </x:c>
    </x:row>
    <x:row r="123">
      <x:c r="C123" s="16" t="e">
        <x:f>VLOOKUP(Tabla2[[#This Row],[CODIGO]],Taller2585[[Código]:[Descripción ]],2,0)</x:f>
        <x:v>#N/A</x:v>
      </x:c>
      <x:c r="D123" s="16" t="e">
        <x:f>VLOOKUP(Tabla2[[#This Row],[CODIGO]],Taller2585[[Código]:[Referencia]],3,0)</x:f>
        <x:v>#N/A</x:v>
      </x:c>
    </x:row>
    <x:row r="124">
      <x:c r="C124" s="16" t="e">
        <x:f>VLOOKUP(Tabla2[[#This Row],[CODIGO]],Taller2585[[Código]:[Descripción ]],2,0)</x:f>
        <x:v>#N/A</x:v>
      </x:c>
      <x:c r="D124" s="16" t="e">
        <x:f>VLOOKUP(Tabla2[[#This Row],[CODIGO]],Taller2585[[Código]:[Referencia]],3,0)</x:f>
        <x:v>#N/A</x:v>
      </x:c>
    </x:row>
    <x:row r="125">
      <x:c r="C125" s="16" t="e">
        <x:f>VLOOKUP(Tabla2[[#This Row],[CODIGO]],Taller2585[[Código]:[Descripción ]],2,0)</x:f>
        <x:v>#N/A</x:v>
      </x:c>
      <x:c r="D125" s="16" t="e">
        <x:f>VLOOKUP(Tabla2[[#This Row],[CODIGO]],Taller2585[[Código]:[Referencia]],3,0)</x:f>
        <x:v>#N/A</x:v>
      </x:c>
    </x:row>
    <x:row r="126">
      <x:c r="C126" s="16" t="e">
        <x:f>VLOOKUP(Tabla2[[#This Row],[CODIGO]],Taller2585[[Código]:[Descripción ]],2,0)</x:f>
        <x:v>#N/A</x:v>
      </x:c>
      <x:c r="D126" s="16" t="e">
        <x:f>VLOOKUP(Tabla2[[#This Row],[CODIGO]],Taller2585[[Código]:[Referencia]],3,0)</x:f>
        <x:v>#N/A</x:v>
      </x:c>
    </x:row>
    <x:row r="127">
      <x:c r="C127" s="16" t="e">
        <x:f>VLOOKUP(Tabla2[[#This Row],[CODIGO]],Taller2585[[Código]:[Descripción ]],2,0)</x:f>
        <x:v>#N/A</x:v>
      </x:c>
      <x:c r="D127" s="16" t="e">
        <x:f>VLOOKUP(Tabla2[[#This Row],[CODIGO]],Taller2585[[Código]:[Referencia]],3,0)</x:f>
        <x:v>#N/A</x:v>
      </x:c>
    </x:row>
    <x:row r="128">
      <x:c r="C128" s="16" t="e">
        <x:f>VLOOKUP(Tabla2[[#This Row],[CODIGO]],Taller2585[[Código]:[Descripción ]],2,0)</x:f>
        <x:v>#N/A</x:v>
      </x:c>
      <x:c r="D128" s="16" t="e">
        <x:f>VLOOKUP(Tabla2[[#This Row],[CODIGO]],Taller2585[[Código]:[Referencia]],3,0)</x:f>
        <x:v>#N/A</x:v>
      </x:c>
    </x:row>
    <x:row r="129">
      <x:c r="C129" s="16" t="e">
        <x:f>VLOOKUP(Tabla2[[#This Row],[CODIGO]],Taller2585[[Código]:[Descripción ]],2,0)</x:f>
        <x:v>#N/A</x:v>
      </x:c>
      <x:c r="D129" s="16" t="e">
        <x:f>VLOOKUP(Tabla2[[#This Row],[CODIGO]],Taller2585[[Código]:[Referencia]],3,0)</x:f>
        <x:v>#N/A</x:v>
      </x:c>
    </x:row>
    <x:row r="130">
      <x:c r="C130" s="16" t="e">
        <x:f>VLOOKUP(Tabla2[[#This Row],[CODIGO]],Taller2585[[Código]:[Descripción ]],2,0)</x:f>
        <x:v>#N/A</x:v>
      </x:c>
      <x:c r="D130" s="16" t="e">
        <x:f>VLOOKUP(Tabla2[[#This Row],[CODIGO]],Taller2585[[Código]:[Referencia]],3,0)</x:f>
        <x:v>#N/A</x:v>
      </x:c>
    </x:row>
    <x:row r="131">
      <x:c r="C131" s="16" t="e">
        <x:f>VLOOKUP(Tabla2[[#This Row],[CODIGO]],Taller2585[[Código]:[Descripción ]],2,0)</x:f>
        <x:v>#N/A</x:v>
      </x:c>
      <x:c r="D131" s="16" t="e">
        <x:f>VLOOKUP(Tabla2[[#This Row],[CODIGO]],Taller2585[[Código]:[Referencia]],3,0)</x:f>
        <x:v>#N/A</x:v>
      </x:c>
    </x:row>
    <x:row r="132">
      <x:c r="C132" s="16" t="e">
        <x:f>VLOOKUP(Tabla2[[#This Row],[CODIGO]],Taller2585[[Código]:[Descripción ]],2,0)</x:f>
        <x:v>#N/A</x:v>
      </x:c>
      <x:c r="D132" s="16" t="e">
        <x:f>VLOOKUP(Tabla2[[#This Row],[CODIGO]],Taller2585[[Código]:[Referencia]],3,0)</x:f>
        <x:v>#N/A</x:v>
      </x:c>
    </x:row>
    <x:row r="133">
      <x:c r="C133" s="16" t="e">
        <x:f>VLOOKUP(Tabla2[[#This Row],[CODIGO]],Taller2585[[Código]:[Descripción ]],2,0)</x:f>
        <x:v>#N/A</x:v>
      </x:c>
      <x:c r="D133" s="16" t="e">
        <x:f>VLOOKUP(Tabla2[[#This Row],[CODIGO]],Taller2585[[Código]:[Referencia]],3,0)</x:f>
        <x:v>#N/A</x:v>
      </x:c>
    </x:row>
    <x:row r="134">
      <x:c r="C134" s="16" t="e">
        <x:f>VLOOKUP(Tabla2[[#This Row],[CODIGO]],Taller2585[[Código]:[Descripción ]],2,0)</x:f>
        <x:v>#N/A</x:v>
      </x:c>
      <x:c r="D134" s="16" t="e">
        <x:f>VLOOKUP(Tabla2[[#This Row],[CODIGO]],Taller2585[[Código]:[Referencia]],3,0)</x:f>
        <x:v>#N/A</x:v>
      </x:c>
    </x:row>
    <x:row r="135">
      <x:c r="C135" s="16" t="e">
        <x:f>VLOOKUP(Tabla2[[#This Row],[CODIGO]],Taller2585[[Código]:[Descripción ]],2,0)</x:f>
        <x:v>#N/A</x:v>
      </x:c>
      <x:c r="D135" s="16" t="e">
        <x:f>VLOOKUP(Tabla2[[#This Row],[CODIGO]],Taller2585[[Código]:[Referencia]],3,0)</x:f>
        <x:v>#N/A</x:v>
      </x:c>
    </x:row>
    <x:row r="136">
      <x:c r="C136" s="16" t="e">
        <x:f>VLOOKUP(Tabla2[[#This Row],[CODIGO]],Taller2585[[Código]:[Descripción ]],2,0)</x:f>
        <x:v>#N/A</x:v>
      </x:c>
      <x:c r="D136" s="16" t="e">
        <x:f>VLOOKUP(Tabla2[[#This Row],[CODIGO]],Taller2585[[Código]:[Referencia]],3,0)</x:f>
        <x:v>#N/A</x:v>
      </x:c>
    </x:row>
    <x:row r="137">
      <x:c r="C137" s="16" t="e">
        <x:f>VLOOKUP(Tabla2[[#This Row],[CODIGO]],Taller2585[[Código]:[Descripción ]],2,0)</x:f>
        <x:v>#N/A</x:v>
      </x:c>
      <x:c r="D137" s="16" t="e">
        <x:f>VLOOKUP(Tabla2[[#This Row],[CODIGO]],Taller2585[[Código]:[Referencia]],3,0)</x:f>
        <x:v>#N/A</x:v>
      </x:c>
    </x:row>
    <x:row r="138">
      <x:c r="C138" s="16" t="e">
        <x:f>VLOOKUP(Tabla2[[#This Row],[CODIGO]],Taller2585[[Código]:[Descripción ]],2,0)</x:f>
        <x:v>#N/A</x:v>
      </x:c>
      <x:c r="D138" s="16" t="e">
        <x:f>VLOOKUP(Tabla2[[#This Row],[CODIGO]],Taller2585[[Código]:[Referencia]],3,0)</x:f>
        <x:v>#N/A</x:v>
      </x:c>
    </x:row>
    <x:row r="139">
      <x:c r="C139" s="16" t="e">
        <x:f>VLOOKUP(Tabla2[[#This Row],[CODIGO]],Taller2585[[Código]:[Descripción ]],2,0)</x:f>
        <x:v>#N/A</x:v>
      </x:c>
      <x:c r="D139" s="16" t="e">
        <x:f>VLOOKUP(Tabla2[[#This Row],[CODIGO]],Taller2585[[Código]:[Referencia]],3,0)</x:f>
        <x:v>#N/A</x:v>
      </x:c>
    </x:row>
    <x:row r="140">
      <x:c r="C140" s="16" t="e">
        <x:f>VLOOKUP(Tabla2[[#This Row],[CODIGO]],Taller2585[[Código]:[Descripción ]],2,0)</x:f>
        <x:v>#N/A</x:v>
      </x:c>
      <x:c r="D140" s="16" t="e">
        <x:f>VLOOKUP(Tabla2[[#This Row],[CODIGO]],Taller2585[[Código]:[Referencia]],3,0)</x:f>
        <x:v>#N/A</x:v>
      </x:c>
    </x:row>
    <x:row r="141">
      <x:c r="C141" s="16" t="e">
        <x:f>VLOOKUP(Tabla2[[#This Row],[CODIGO]],Taller2585[[Código]:[Descripción ]],2,0)</x:f>
        <x:v>#N/A</x:v>
      </x:c>
      <x:c r="D141" s="16" t="e">
        <x:f>VLOOKUP(Tabla2[[#This Row],[CODIGO]],Taller2585[[Código]:[Referencia]],3,0)</x:f>
        <x:v>#N/A</x:v>
      </x:c>
    </x:row>
    <x:row r="142">
      <x:c r="C142" s="16" t="e">
        <x:f>VLOOKUP(Tabla2[[#This Row],[CODIGO]],Taller2585[[Código]:[Descripción ]],2,0)</x:f>
        <x:v>#N/A</x:v>
      </x:c>
      <x:c r="D142" s="16" t="e">
        <x:f>VLOOKUP(Tabla2[[#This Row],[CODIGO]],Taller2585[[Código]:[Referencia]],3,0)</x:f>
        <x:v>#N/A</x:v>
      </x:c>
    </x:row>
    <x:row r="143">
      <x:c r="C143" s="16" t="e">
        <x:f>VLOOKUP(Tabla2[[#This Row],[CODIGO]],Taller2585[[Código]:[Descripción ]],2,0)</x:f>
        <x:v>#N/A</x:v>
      </x:c>
      <x:c r="D143" s="16" t="e">
        <x:f>VLOOKUP(Tabla2[[#This Row],[CODIGO]],Taller2585[[Código]:[Referencia]],3,0)</x:f>
        <x:v>#N/A</x:v>
      </x:c>
    </x:row>
    <x:row r="144">
      <x:c r="C144" s="16" t="e">
        <x:f>VLOOKUP(Tabla2[[#This Row],[CODIGO]],Taller2585[[Código]:[Descripción ]],2,0)</x:f>
        <x:v>#N/A</x:v>
      </x:c>
      <x:c r="D144" s="16" t="e">
        <x:f>VLOOKUP(Tabla2[[#This Row],[CODIGO]],Taller2585[[Código]:[Referencia]],3,0)</x:f>
        <x:v>#N/A</x:v>
      </x:c>
    </x:row>
    <x:row r="145">
      <x:c r="C145" s="16" t="e">
        <x:f>VLOOKUP(Tabla2[[#This Row],[CODIGO]],Taller2585[[Código]:[Descripción ]],2,0)</x:f>
        <x:v>#N/A</x:v>
      </x:c>
      <x:c r="D145" s="16" t="e">
        <x:f>VLOOKUP(Tabla2[[#This Row],[CODIGO]],Taller2585[[Código]:[Referencia]],3,0)</x:f>
        <x:v>#N/A</x:v>
      </x:c>
    </x:row>
    <x:row r="146">
      <x:c r="C146" s="16" t="e">
        <x:f>VLOOKUP(Tabla2[[#This Row],[CODIGO]],Taller2585[[Código]:[Descripción ]],2,0)</x:f>
        <x:v>#N/A</x:v>
      </x:c>
      <x:c r="D146" s="16" t="e">
        <x:f>VLOOKUP(Tabla2[[#This Row],[CODIGO]],Taller2585[[Código]:[Referencia]],3,0)</x:f>
        <x:v>#N/A</x:v>
      </x:c>
    </x:row>
    <x:row r="147">
      <x:c r="C147" s="16" t="e">
        <x:f>VLOOKUP(Tabla2[[#This Row],[CODIGO]],Taller2585[[Código]:[Descripción ]],2,0)</x:f>
        <x:v>#N/A</x:v>
      </x:c>
      <x:c r="D147" s="16" t="e">
        <x:f>VLOOKUP(Tabla2[[#This Row],[CODIGO]],Taller2585[[Código]:[Referencia]],3,0)</x:f>
        <x:v>#N/A</x:v>
      </x:c>
    </x:row>
    <x:row r="148">
      <x:c r="C148" s="16" t="e">
        <x:f>VLOOKUP(Tabla2[[#This Row],[CODIGO]],Taller2585[[Código]:[Descripción ]],2,0)</x:f>
        <x:v>#N/A</x:v>
      </x:c>
      <x:c r="D148" s="16" t="e">
        <x:f>VLOOKUP(Tabla2[[#This Row],[CODIGO]],Taller2585[[Código]:[Referencia]],3,0)</x:f>
        <x:v>#N/A</x:v>
      </x:c>
    </x:row>
    <x:row r="149">
      <x:c r="C149" s="16" t="e">
        <x:f>VLOOKUP(Tabla2[[#This Row],[CODIGO]],Taller2585[[Código]:[Descripción ]],2,0)</x:f>
        <x:v>#N/A</x:v>
      </x:c>
      <x:c r="D149" s="16" t="e">
        <x:f>VLOOKUP(Tabla2[[#This Row],[CODIGO]],Taller2585[[Código]:[Referencia]],3,0)</x:f>
        <x:v>#N/A</x:v>
      </x:c>
    </x:row>
    <x:row r="150">
      <x:c r="C150" s="16" t="e">
        <x:f>VLOOKUP(Tabla2[[#This Row],[CODIGO]],Taller2585[[Código]:[Descripción ]],2,0)</x:f>
        <x:v>#N/A</x:v>
      </x:c>
      <x:c r="D150" s="16" t="e">
        <x:f>VLOOKUP(Tabla2[[#This Row],[CODIGO]],Taller2585[[Código]:[Referencia]],3,0)</x:f>
        <x:v>#N/A</x:v>
      </x:c>
    </x:row>
    <x:row r="151">
      <x:c r="C151" s="16" t="e">
        <x:f>VLOOKUP(Tabla2[[#This Row],[CODIGO]],Taller2585[[Código]:[Descripción ]],2,0)</x:f>
        <x:v>#N/A</x:v>
      </x:c>
      <x:c r="D151" s="16" t="e">
        <x:f>VLOOKUP(Tabla2[[#This Row],[CODIGO]],Taller2585[[Código]:[Referencia]],3,0)</x:f>
        <x:v>#N/A</x:v>
      </x:c>
    </x:row>
    <x:row r="152">
      <x:c r="C152" s="16" t="e">
        <x:f>VLOOKUP(Tabla2[[#This Row],[CODIGO]],Taller2585[[Código]:[Descripción ]],2,0)</x:f>
        <x:v>#N/A</x:v>
      </x:c>
      <x:c r="D152" s="16" t="e">
        <x:f>VLOOKUP(Tabla2[[#This Row],[CODIGO]],Taller2585[[Código]:[Referencia]],3,0)</x:f>
        <x:v>#N/A</x:v>
      </x:c>
    </x:row>
    <x:row r="153">
      <x:c r="C153" s="16" t="e">
        <x:f>VLOOKUP(Tabla2[[#This Row],[CODIGO]],Taller2585[[Código]:[Descripción ]],2,0)</x:f>
        <x:v>#N/A</x:v>
      </x:c>
      <x:c r="D153" s="16" t="e">
        <x:f>VLOOKUP(Tabla2[[#This Row],[CODIGO]],Taller2585[[Código]:[Referencia]],3,0)</x:f>
        <x:v>#N/A</x:v>
      </x:c>
    </x:row>
    <x:row r="154">
      <x:c r="C154" s="16" t="e">
        <x:f>VLOOKUP(Tabla2[[#This Row],[CODIGO]],Taller2585[[Código]:[Descripción ]],2,0)</x:f>
        <x:v>#N/A</x:v>
      </x:c>
      <x:c r="D154" s="16" t="e">
        <x:f>VLOOKUP(Tabla2[[#This Row],[CODIGO]],Taller2585[[Código]:[Referencia]],3,0)</x:f>
        <x:v>#N/A</x:v>
      </x:c>
    </x:row>
    <x:row r="155">
      <x:c r="C155" s="16" t="e">
        <x:f>VLOOKUP(Tabla2[[#This Row],[CODIGO]],Taller2585[[Código]:[Descripción ]],2,0)</x:f>
        <x:v>#N/A</x:v>
      </x:c>
      <x:c r="D155" s="16" t="e">
        <x:f>VLOOKUP(Tabla2[[#This Row],[CODIGO]],Taller2585[[Código]:[Referencia]],3,0)</x:f>
        <x:v>#N/A</x:v>
      </x:c>
    </x:row>
    <x:row r="156">
      <x:c r="C156" s="16" t="e">
        <x:f>VLOOKUP(Tabla2[[#This Row],[CODIGO]],Taller2585[[Código]:[Descripción ]],2,0)</x:f>
        <x:v>#N/A</x:v>
      </x:c>
      <x:c r="D156" s="16" t="e">
        <x:f>VLOOKUP(Tabla2[[#This Row],[CODIGO]],Taller2585[[Código]:[Referencia]],3,0)</x:f>
        <x:v>#N/A</x:v>
      </x:c>
    </x:row>
    <x:row r="157">
      <x:c r="C157" s="16" t="e">
        <x:f>VLOOKUP(Tabla2[[#This Row],[CODIGO]],Taller2585[[Código]:[Descripción ]],2,0)</x:f>
        <x:v>#N/A</x:v>
      </x:c>
      <x:c r="D157" s="16" t="e">
        <x:f>VLOOKUP(Tabla2[[#This Row],[CODIGO]],Taller2585[[Código]:[Referencia]],3,0)</x:f>
        <x:v>#N/A</x:v>
      </x:c>
    </x:row>
    <x:row r="158">
      <x:c r="C158" s="16" t="e">
        <x:f>VLOOKUP(Tabla2[[#This Row],[CODIGO]],Taller2585[[Código]:[Descripción ]],2,0)</x:f>
        <x:v>#N/A</x:v>
      </x:c>
      <x:c r="D158" s="16" t="e">
        <x:f>VLOOKUP(Tabla2[[#This Row],[CODIGO]],Taller2585[[Código]:[Referencia]],3,0)</x:f>
        <x:v>#N/A</x:v>
      </x:c>
    </x:row>
    <x:row r="159">
      <x:c r="C159" s="16" t="e">
        <x:f>VLOOKUP(Tabla2[[#This Row],[CODIGO]],Taller2585[[Código]:[Descripción ]],2,0)</x:f>
        <x:v>#N/A</x:v>
      </x:c>
      <x:c r="D159" s="16" t="e">
        <x:f>VLOOKUP(Tabla2[[#This Row],[CODIGO]],Taller2585[[Código]:[Referencia]],3,0)</x:f>
        <x:v>#N/A</x:v>
      </x:c>
    </x:row>
    <x:row r="160">
      <x:c r="C160" s="16" t="e">
        <x:f>VLOOKUP(Tabla2[[#This Row],[CODIGO]],Taller2585[[Código]:[Descripción ]],2,0)</x:f>
        <x:v>#N/A</x:v>
      </x:c>
      <x:c r="D160" s="16" t="e">
        <x:f>VLOOKUP(Tabla2[[#This Row],[CODIGO]],Taller2585[[Código]:[Referencia]],3,0)</x:f>
        <x:v>#N/A</x:v>
      </x:c>
    </x:row>
    <x:row r="161">
      <x:c r="C161" s="16" t="e">
        <x:f>VLOOKUP(Tabla2[[#This Row],[CODIGO]],Taller2585[[Código]:[Descripción ]],2,0)</x:f>
        <x:v>#N/A</x:v>
      </x:c>
      <x:c r="D161" s="16" t="e">
        <x:f>VLOOKUP(Tabla2[[#This Row],[CODIGO]],Taller2585[[Código]:[Referencia]],3,0)</x:f>
        <x:v>#N/A</x:v>
      </x:c>
    </x:row>
    <x:row r="162">
      <x:c r="C162" s="16" t="e">
        <x:f>VLOOKUP(Tabla2[[#This Row],[CODIGO]],Taller2585[[Código]:[Descripción ]],2,0)</x:f>
        <x:v>#N/A</x:v>
      </x:c>
      <x:c r="D162" s="16" t="e">
        <x:f>VLOOKUP(Tabla2[[#This Row],[CODIGO]],Taller2585[[Código]:[Referencia]],3,0)</x:f>
        <x:v>#N/A</x:v>
      </x:c>
    </x:row>
    <x:row r="163">
      <x:c r="C163" s="16" t="e">
        <x:f>VLOOKUP(Tabla2[[#This Row],[CODIGO]],Taller2585[[Código]:[Descripción ]],2,0)</x:f>
        <x:v>#N/A</x:v>
      </x:c>
      <x:c r="D163" s="16" t="e">
        <x:f>VLOOKUP(Tabla2[[#This Row],[CODIGO]],Taller2585[[Código]:[Referencia]],3,0)</x:f>
        <x:v>#N/A</x:v>
      </x:c>
    </x:row>
    <x:row r="164">
      <x:c r="C164" s="16" t="e">
        <x:f>VLOOKUP(Tabla2[[#This Row],[CODIGO]],Taller2585[[Código]:[Descripción ]],2,0)</x:f>
        <x:v>#N/A</x:v>
      </x:c>
      <x:c r="D164" s="16" t="e">
        <x:f>VLOOKUP(Tabla2[[#This Row],[CODIGO]],Taller2585[[Código]:[Referencia]],3,0)</x:f>
        <x:v>#N/A</x:v>
      </x:c>
    </x:row>
    <x:row r="165">
      <x:c r="C165" s="16" t="e">
        <x:f>VLOOKUP(Tabla2[[#This Row],[CODIGO]],Taller2585[[Código]:[Descripción ]],2,0)</x:f>
        <x:v>#N/A</x:v>
      </x:c>
      <x:c r="D165" s="16" t="e">
        <x:f>VLOOKUP(Tabla2[[#This Row],[CODIGO]],Taller2585[[Código]:[Referencia]],3,0)</x:f>
        <x:v>#N/A</x:v>
      </x:c>
    </x:row>
    <x:row r="166">
      <x:c r="C166" s="16" t="e">
        <x:f>VLOOKUP(Tabla2[[#This Row],[CODIGO]],Taller2585[[Código]:[Descripción ]],2,0)</x:f>
        <x:v>#N/A</x:v>
      </x:c>
      <x:c r="D166" s="16" t="e">
        <x:f>VLOOKUP(Tabla2[[#This Row],[CODIGO]],Taller2585[[Código]:[Referencia]],3,0)</x:f>
        <x:v>#N/A</x:v>
      </x:c>
    </x:row>
    <x:row r="167">
      <x:c r="C167" s="16" t="e">
        <x:f>VLOOKUP(Tabla2[[#This Row],[CODIGO]],Taller2585[[Código]:[Descripción ]],2,0)</x:f>
        <x:v>#N/A</x:v>
      </x:c>
      <x:c r="D167" s="16" t="e">
        <x:f>VLOOKUP(Tabla2[[#This Row],[CODIGO]],Taller2585[[Código]:[Referencia]],3,0)</x:f>
        <x:v>#N/A</x:v>
      </x:c>
    </x:row>
    <x:row r="168">
      <x:c r="C168" s="16" t="e">
        <x:f>VLOOKUP(Tabla2[[#This Row],[CODIGO]],Taller2585[[Código]:[Descripción ]],2,0)</x:f>
        <x:v>#N/A</x:v>
      </x:c>
      <x:c r="D168" s="16" t="e">
        <x:f>VLOOKUP(Tabla2[[#This Row],[CODIGO]],Taller2585[[Código]:[Referencia]],3,0)</x:f>
        <x:v>#N/A</x:v>
      </x:c>
    </x:row>
    <x:row r="169">
      <x:c r="C169" s="16" t="e">
        <x:f>VLOOKUP(Tabla2[[#This Row],[CODIGO]],Taller2585[[Código]:[Descripción ]],2,0)</x:f>
        <x:v>#N/A</x:v>
      </x:c>
      <x:c r="D169" s="16" t="e">
        <x:f>VLOOKUP(Tabla2[[#This Row],[CODIGO]],Taller2585[[Código]:[Referencia]],3,0)</x:f>
        <x:v>#N/A</x:v>
      </x:c>
    </x:row>
    <x:row r="170">
      <x:c r="C170" s="16" t="e">
        <x:f>VLOOKUP(Tabla2[[#This Row],[CODIGO]],Taller2585[[Código]:[Descripción ]],2,0)</x:f>
        <x:v>#N/A</x:v>
      </x:c>
      <x:c r="D170" s="16" t="e">
        <x:f>VLOOKUP(Tabla2[[#This Row],[CODIGO]],Taller2585[[Código]:[Referencia]],3,0)</x:f>
        <x:v>#N/A</x:v>
      </x:c>
    </x:row>
    <x:row r="171">
      <x:c r="C171" s="16" t="e">
        <x:f>VLOOKUP(Tabla2[[#This Row],[CODIGO]],Taller2585[[Código]:[Descripción ]],2,0)</x:f>
        <x:v>#N/A</x:v>
      </x:c>
      <x:c r="D171" s="16" t="e">
        <x:f>VLOOKUP(Tabla2[[#This Row],[CODIGO]],Taller2585[[Código]:[Referencia]],3,0)</x:f>
        <x:v>#N/A</x:v>
      </x:c>
    </x:row>
    <x:row r="172">
      <x:c r="C172" s="16" t="e">
        <x:f>VLOOKUP(Tabla2[[#This Row],[CODIGO]],Taller2585[[Código]:[Descripción ]],2,0)</x:f>
        <x:v>#N/A</x:v>
      </x:c>
      <x:c r="D172" s="16" t="e">
        <x:f>VLOOKUP(Tabla2[[#This Row],[CODIGO]],Taller2585[[Código]:[Referencia]],3,0)</x:f>
        <x:v>#N/A</x:v>
      </x:c>
    </x:row>
    <x:row r="173">
      <x:c r="C173" s="16" t="e">
        <x:f>VLOOKUP(Tabla2[[#This Row],[CODIGO]],Taller2585[[Código]:[Descripción ]],2,0)</x:f>
        <x:v>#N/A</x:v>
      </x:c>
      <x:c r="D173" s="16" t="e">
        <x:f>VLOOKUP(Tabla2[[#This Row],[CODIGO]],Taller2585[[Código]:[Referencia]],3,0)</x:f>
        <x:v>#N/A</x:v>
      </x:c>
    </x:row>
    <x:row r="174">
      <x:c r="C174" s="16" t="e">
        <x:f>VLOOKUP(Tabla2[[#This Row],[CODIGO]],Taller2585[[Código]:[Descripción ]],2,0)</x:f>
        <x:v>#N/A</x:v>
      </x:c>
      <x:c r="D174" s="16" t="e">
        <x:f>VLOOKUP(Tabla2[[#This Row],[CODIGO]],Taller2585[[Código]:[Referencia]],3,0)</x:f>
        <x:v>#N/A</x:v>
      </x:c>
    </x:row>
    <x:row r="175">
      <x:c r="C175" s="16" t="e">
        <x:f>VLOOKUP(Tabla2[[#This Row],[CODIGO]],Taller2585[[Código]:[Descripción ]],2,0)</x:f>
        <x:v>#N/A</x:v>
      </x:c>
      <x:c r="D175" s="16" t="e">
        <x:f>VLOOKUP(Tabla2[[#This Row],[CODIGO]],Taller2585[[Código]:[Referencia]],3,0)</x:f>
        <x:v>#N/A</x:v>
      </x:c>
    </x:row>
    <x:row r="176">
      <x:c r="C176" s="16" t="e">
        <x:f>VLOOKUP(Tabla2[[#This Row],[CODIGO]],Taller2585[[Código]:[Descripción ]],2,0)</x:f>
        <x:v>#N/A</x:v>
      </x:c>
      <x:c r="D176" s="16" t="e">
        <x:f>VLOOKUP(Tabla2[[#This Row],[CODIGO]],Taller2585[[Código]:[Referencia]],3,0)</x:f>
        <x:v>#N/A</x:v>
      </x:c>
    </x:row>
    <x:row r="177">
      <x:c r="C177" s="16" t="e">
        <x:f>VLOOKUP(Tabla2[[#This Row],[CODIGO]],Taller2585[[Código]:[Descripción ]],2,0)</x:f>
        <x:v>#N/A</x:v>
      </x:c>
      <x:c r="D177" s="16" t="e">
        <x:f>VLOOKUP(Tabla2[[#This Row],[CODIGO]],Taller2585[[Código]:[Referencia]],3,0)</x:f>
        <x:v>#N/A</x:v>
      </x:c>
    </x:row>
    <x:row r="178">
      <x:c r="C178" s="16" t="e">
        <x:f>VLOOKUP(Tabla2[[#This Row],[CODIGO]],Taller2585[[Código]:[Descripción ]],2,0)</x:f>
        <x:v>#N/A</x:v>
      </x:c>
      <x:c r="D178" s="16" t="e">
        <x:f>VLOOKUP(Tabla2[[#This Row],[CODIGO]],Taller2585[[Código]:[Referencia]],3,0)</x:f>
        <x:v>#N/A</x:v>
      </x:c>
    </x:row>
    <x:row r="179">
      <x:c r="C179" s="16" t="e">
        <x:f>VLOOKUP(Tabla2[[#This Row],[CODIGO]],Taller2585[[Código]:[Descripción ]],2,0)</x:f>
        <x:v>#N/A</x:v>
      </x:c>
      <x:c r="D179" s="16" t="e">
        <x:f>VLOOKUP(Tabla2[[#This Row],[CODIGO]],Taller2585[[Código]:[Referencia]],3,0)</x:f>
        <x:v>#N/A</x:v>
      </x:c>
    </x:row>
    <x:row r="180">
      <x:c r="C180" s="16" t="e">
        <x:f>VLOOKUP(Tabla2[[#This Row],[CODIGO]],Taller2585[[Código]:[Descripción ]],2,0)</x:f>
        <x:v>#N/A</x:v>
      </x:c>
      <x:c r="D180" s="16" t="e">
        <x:f>VLOOKUP(Tabla2[[#This Row],[CODIGO]],Taller2585[[Código]:[Referencia]],3,0)</x:f>
        <x:v>#N/A</x:v>
      </x:c>
    </x:row>
    <x:row r="181">
      <x:c r="C181" s="16" t="e">
        <x:f>VLOOKUP(Tabla2[[#This Row],[CODIGO]],Taller2585[[Código]:[Descripción ]],2,0)</x:f>
        <x:v>#N/A</x:v>
      </x:c>
      <x:c r="D181" s="16" t="e">
        <x:f>VLOOKUP(Tabla2[[#This Row],[CODIGO]],Taller2585[[Código]:[Referencia]],3,0)</x:f>
        <x:v>#N/A</x:v>
      </x:c>
    </x:row>
    <x:row r="182">
      <x:c r="C182" s="16" t="e">
        <x:f>VLOOKUP(Tabla2[[#This Row],[CODIGO]],Taller2585[[Código]:[Descripción ]],2,0)</x:f>
        <x:v>#N/A</x:v>
      </x:c>
      <x:c r="D182" s="16" t="e">
        <x:f>VLOOKUP(Tabla2[[#This Row],[CODIGO]],Taller2585[[Código]:[Referencia]],3,0)</x:f>
        <x:v>#N/A</x:v>
      </x:c>
    </x:row>
    <x:row r="183">
      <x:c r="C183" s="16" t="e">
        <x:f>VLOOKUP(Tabla2[[#This Row],[CODIGO]],Taller2585[[Código]:[Descripción ]],2,0)</x:f>
        <x:v>#N/A</x:v>
      </x:c>
      <x:c r="D183" s="16" t="e">
        <x:f>VLOOKUP(Tabla2[[#This Row],[CODIGO]],Taller2585[[Código]:[Referencia]],3,0)</x:f>
        <x:v>#N/A</x:v>
      </x:c>
    </x:row>
    <x:row r="184">
      <x:c r="C184" s="16" t="e">
        <x:f>VLOOKUP(Tabla2[[#This Row],[CODIGO]],Taller2585[[Código]:[Descripción ]],2,0)</x:f>
        <x:v>#N/A</x:v>
      </x:c>
      <x:c r="D184" s="16" t="e">
        <x:f>VLOOKUP(Tabla2[[#This Row],[CODIGO]],Taller2585[[Código]:[Referencia]],3,0)</x:f>
        <x:v>#N/A</x:v>
      </x:c>
    </x:row>
    <x:row r="185">
      <x:c r="C185" s="16" t="e">
        <x:f>VLOOKUP(Tabla2[[#This Row],[CODIGO]],Taller2585[[Código]:[Descripción ]],2,0)</x:f>
        <x:v>#N/A</x:v>
      </x:c>
      <x:c r="D185" s="16" t="e">
        <x:f>VLOOKUP(Tabla2[[#This Row],[CODIGO]],Taller2585[[Código]:[Referencia]],3,0)</x:f>
        <x:v>#N/A</x:v>
      </x:c>
    </x:row>
    <x:row r="186">
      <x:c r="C186" s="16" t="e">
        <x:f>VLOOKUP(Tabla2[[#This Row],[CODIGO]],Taller2585[[Código]:[Descripción ]],2,0)</x:f>
        <x:v>#N/A</x:v>
      </x:c>
      <x:c r="D186" s="16" t="e">
        <x:f>VLOOKUP(Tabla2[[#This Row],[CODIGO]],Taller2585[[Código]:[Referencia]],3,0)</x:f>
        <x:v>#N/A</x:v>
      </x:c>
    </x:row>
    <x:row r="187">
      <x:c r="C187" s="16" t="e">
        <x:f>VLOOKUP(Tabla2[[#This Row],[CODIGO]],Taller2585[[Código]:[Descripción ]],2,0)</x:f>
        <x:v>#N/A</x:v>
      </x:c>
      <x:c r="D187" s="16" t="e">
        <x:f>VLOOKUP(Tabla2[[#This Row],[CODIGO]],Taller2585[[Código]:[Referencia]],3,0)</x:f>
        <x:v>#N/A</x:v>
      </x:c>
    </x:row>
    <x:row r="188">
      <x:c r="C188" s="16" t="e">
        <x:f>VLOOKUP(Tabla2[[#This Row],[CODIGO]],Taller2585[[Código]:[Descripción ]],2,0)</x:f>
        <x:v>#N/A</x:v>
      </x:c>
      <x:c r="D188" s="16" t="e">
        <x:f>VLOOKUP(Tabla2[[#This Row],[CODIGO]],Taller2585[[Código]:[Referencia]],3,0)</x:f>
        <x:v>#N/A</x:v>
      </x:c>
    </x:row>
    <x:row r="189">
      <x:c r="C189" s="16" t="e">
        <x:f>VLOOKUP(Tabla2[[#This Row],[CODIGO]],Taller2585[[Código]:[Descripción ]],2,0)</x:f>
        <x:v>#N/A</x:v>
      </x:c>
      <x:c r="D189" s="16" t="e">
        <x:f>VLOOKUP(Tabla2[[#This Row],[CODIGO]],Taller2585[[Código]:[Referencia]],3,0)</x:f>
        <x:v>#N/A</x:v>
      </x:c>
    </x:row>
    <x:row r="190">
      <x:c r="C190" s="16" t="e">
        <x:f>VLOOKUP(Tabla2[[#This Row],[CODIGO]],Taller2585[[Código]:[Descripción ]],2,0)</x:f>
        <x:v>#N/A</x:v>
      </x:c>
      <x:c r="D190" s="16" t="e">
        <x:f>VLOOKUP(Tabla2[[#This Row],[CODIGO]],Taller2585[[Código]:[Referencia]],3,0)</x:f>
        <x:v>#N/A</x:v>
      </x:c>
    </x:row>
    <x:row r="191">
      <x:c r="C191" s="16" t="e">
        <x:f>VLOOKUP(Tabla2[[#This Row],[CODIGO]],Taller2585[[Código]:[Descripción ]],2,0)</x:f>
        <x:v>#N/A</x:v>
      </x:c>
      <x:c r="D191" s="16" t="e">
        <x:f>VLOOKUP(Tabla2[[#This Row],[CODIGO]],Taller2585[[Código]:[Referencia]],3,0)</x:f>
        <x:v>#N/A</x:v>
      </x:c>
    </x:row>
    <x:row r="192">
      <x:c r="C192" s="16" t="e">
        <x:f>VLOOKUP(Tabla2[[#This Row],[CODIGO]],Taller2585[[Código]:[Descripción ]],2,0)</x:f>
        <x:v>#N/A</x:v>
      </x:c>
      <x:c r="D192" s="16" t="e">
        <x:f>VLOOKUP(Tabla2[[#This Row],[CODIGO]],Taller2585[[Código]:[Referencia]],3,0)</x:f>
        <x:v>#N/A</x:v>
      </x:c>
    </x:row>
    <x:row r="193">
      <x:c r="C193" s="16" t="e">
        <x:f>VLOOKUP(Tabla2[[#This Row],[CODIGO]],Taller2585[[Código]:[Descripción ]],2,0)</x:f>
        <x:v>#N/A</x:v>
      </x:c>
      <x:c r="D193" s="16" t="e">
        <x:f>VLOOKUP(Tabla2[[#This Row],[CODIGO]],Taller2585[[Código]:[Referencia]],3,0)</x:f>
        <x:v>#N/A</x:v>
      </x:c>
    </x:row>
    <x:row r="194">
      <x:c r="C194" s="16" t="e">
        <x:f>VLOOKUP(Tabla2[[#This Row],[CODIGO]],Taller2585[[Código]:[Descripción ]],2,0)</x:f>
        <x:v>#N/A</x:v>
      </x:c>
      <x:c r="D194" s="16" t="e">
        <x:f>VLOOKUP(Tabla2[[#This Row],[CODIGO]],Taller2585[[Código]:[Referencia]],3,0)</x:f>
        <x:v>#N/A</x:v>
      </x:c>
    </x:row>
    <x:row r="195">
      <x:c r="C195" s="16" t="e">
        <x:f>VLOOKUP(Tabla2[[#This Row],[CODIGO]],Taller2585[[Código]:[Descripción ]],2,0)</x:f>
        <x:v>#N/A</x:v>
      </x:c>
      <x:c r="D195" s="16" t="e">
        <x:f>VLOOKUP(Tabla2[[#This Row],[CODIGO]],Taller2585[[Código]:[Referencia]],3,0)</x:f>
        <x:v>#N/A</x:v>
      </x:c>
    </x:row>
    <x:row r="196">
      <x:c r="C196" s="16" t="e">
        <x:f>VLOOKUP(Tabla2[[#This Row],[CODIGO]],Taller2585[[Código]:[Descripción ]],2,0)</x:f>
        <x:v>#N/A</x:v>
      </x:c>
      <x:c r="D196" s="16" t="e">
        <x:f>VLOOKUP(Tabla2[[#This Row],[CODIGO]],Taller2585[[Código]:[Referencia]],3,0)</x:f>
        <x:v>#N/A</x:v>
      </x:c>
    </x:row>
    <x:row r="197">
      <x:c r="C197" s="16" t="e">
        <x:f>VLOOKUP(Tabla2[[#This Row],[CODIGO]],Taller2585[[Código]:[Descripción ]],2,0)</x:f>
        <x:v>#N/A</x:v>
      </x:c>
      <x:c r="D197" s="16" t="e">
        <x:f>VLOOKUP(Tabla2[[#This Row],[CODIGO]],Taller2585[[Código]:[Referencia]],3,0)</x:f>
        <x:v>#N/A</x:v>
      </x:c>
    </x:row>
    <x:row r="198">
      <x:c r="C198" s="16" t="e">
        <x:f>VLOOKUP(Tabla2[[#This Row],[CODIGO]],Taller2585[[Código]:[Descripción ]],2,0)</x:f>
        <x:v>#N/A</x:v>
      </x:c>
      <x:c r="D198" s="16" t="e">
        <x:f>VLOOKUP(Tabla2[[#This Row],[CODIGO]],Taller2585[[Código]:[Referencia]],3,0)</x:f>
        <x:v>#N/A</x:v>
      </x:c>
    </x:row>
    <x:row r="199">
      <x:c r="C199" s="16" t="e">
        <x:f>VLOOKUP(Tabla2[[#This Row],[CODIGO]],Taller2585[[Código]:[Descripción ]],2,0)</x:f>
        <x:v>#N/A</x:v>
      </x:c>
      <x:c r="D199" s="16" t="e">
        <x:f>VLOOKUP(Tabla2[[#This Row],[CODIGO]],Taller2585[[Código]:[Referencia]],3,0)</x:f>
        <x:v>#N/A</x:v>
      </x:c>
    </x:row>
    <x:row r="200">
      <x:c r="C200" s="16" t="e">
        <x:f>VLOOKUP(Tabla2[[#This Row],[CODIGO]],Taller2585[[Código]:[Descripción ]],2,0)</x:f>
        <x:v>#N/A</x:v>
      </x:c>
      <x:c r="D200" s="16" t="e">
        <x:f>VLOOKUP(Tabla2[[#This Row],[CODIGO]],Taller2585[[Código]:[Referencia]],3,0)</x:f>
        <x:v>#N/A</x:v>
      </x:c>
    </x:row>
    <x:row r="201">
      <x:c r="C201" s="16" t="e">
        <x:f>VLOOKUP(Tabla2[[#This Row],[CODIGO]],Taller2585[[Código]:[Descripción ]],2,0)</x:f>
        <x:v>#N/A</x:v>
      </x:c>
      <x:c r="D201" s="16" t="e">
        <x:f>VLOOKUP(Tabla2[[#This Row],[CODIGO]],Taller2585[[Código]:[Referencia]],3,0)</x:f>
        <x:v>#N/A</x:v>
      </x:c>
    </x:row>
    <x:row r="202">
      <x:c r="C202" s="16" t="e">
        <x:f>VLOOKUP(Tabla2[[#This Row],[CODIGO]],Taller2585[[Código]:[Descripción ]],2,0)</x:f>
        <x:v>#N/A</x:v>
      </x:c>
      <x:c r="D202" s="16" t="e">
        <x:f>VLOOKUP(Tabla2[[#This Row],[CODIGO]],Taller2585[[Código]:[Referencia]],3,0)</x:f>
        <x:v>#N/A</x:v>
      </x:c>
    </x:row>
    <x:row r="203">
      <x:c r="C203" s="16" t="e">
        <x:f>VLOOKUP(Tabla2[[#This Row],[CODIGO]],Taller2585[[Código]:[Descripción ]],2,0)</x:f>
        <x:v>#N/A</x:v>
      </x:c>
      <x:c r="D203" s="16" t="e">
        <x:f>VLOOKUP(Tabla2[[#This Row],[CODIGO]],Taller2585[[Código]:[Referencia]],3,0)</x:f>
        <x:v>#N/A</x:v>
      </x:c>
    </x:row>
    <x:row r="204">
      <x:c r="C204" s="16" t="e">
        <x:f>VLOOKUP(Tabla2[[#This Row],[CODIGO]],Taller2585[[Código]:[Descripción ]],2,0)</x:f>
        <x:v>#N/A</x:v>
      </x:c>
      <x:c r="D204" s="16" t="e">
        <x:f>VLOOKUP(Tabla2[[#This Row],[CODIGO]],Taller2585[[Código]:[Referencia]],3,0)</x:f>
        <x:v>#N/A</x:v>
      </x:c>
    </x:row>
    <x:row r="205">
      <x:c r="C205" s="16" t="e">
        <x:f>VLOOKUP(Tabla2[[#This Row],[CODIGO]],Taller2585[[Código]:[Descripción ]],2,0)</x:f>
        <x:v>#N/A</x:v>
      </x:c>
      <x:c r="D205" s="16" t="e">
        <x:f>VLOOKUP(Tabla2[[#This Row],[CODIGO]],Taller2585[[Código]:[Referencia]],3,0)</x:f>
        <x:v>#N/A</x:v>
      </x:c>
    </x:row>
    <x:row r="206">
      <x:c r="C206" s="16" t="e">
        <x:f>VLOOKUP(Tabla2[[#This Row],[CODIGO]],Taller2585[[Código]:[Descripción ]],2,0)</x:f>
        <x:v>#N/A</x:v>
      </x:c>
      <x:c r="D206" s="16" t="e">
        <x:f>VLOOKUP(Tabla2[[#This Row],[CODIGO]],Taller2585[[Código]:[Referencia]],3,0)</x:f>
        <x:v>#N/A</x:v>
      </x:c>
    </x:row>
    <x:row r="207">
      <x:c r="C207" s="16" t="e">
        <x:f>VLOOKUP(Tabla2[[#This Row],[CODIGO]],Taller2585[[Código]:[Descripción ]],2,0)</x:f>
        <x:v>#N/A</x:v>
      </x:c>
      <x:c r="D207" s="16" t="e">
        <x:f>VLOOKUP(Tabla2[[#This Row],[CODIGO]],Taller2585[[Código]:[Referencia]],3,0)</x:f>
        <x:v>#N/A</x:v>
      </x:c>
    </x:row>
    <x:row r="208">
      <x:c r="C208" s="16" t="e">
        <x:f>VLOOKUP(Tabla2[[#This Row],[CODIGO]],Taller2585[[Código]:[Descripción ]],2,0)</x:f>
        <x:v>#N/A</x:v>
      </x:c>
      <x:c r="D208" s="16" t="e">
        <x:f>VLOOKUP(Tabla2[[#This Row],[CODIGO]],Taller2585[[Código]:[Referencia]],3,0)</x:f>
        <x:v>#N/A</x:v>
      </x:c>
    </x:row>
    <x:row r="209">
      <x:c r="C209" s="16" t="e">
        <x:f>VLOOKUP(Tabla2[[#This Row],[CODIGO]],Taller2585[[Código]:[Descripción ]],2,0)</x:f>
        <x:v>#N/A</x:v>
      </x:c>
      <x:c r="D209" s="16" t="e">
        <x:f>VLOOKUP(Tabla2[[#This Row],[CODIGO]],Taller2585[[Código]:[Referencia]],3,0)</x:f>
        <x:v>#N/A</x:v>
      </x:c>
    </x:row>
    <x:row r="210">
      <x:c r="C210" s="16" t="e">
        <x:f>VLOOKUP(Tabla2[[#This Row],[CODIGO]],Taller2585[[Código]:[Descripción ]],2,0)</x:f>
        <x:v>#N/A</x:v>
      </x:c>
      <x:c r="D210" s="16" t="e">
        <x:f>VLOOKUP(Tabla2[[#This Row],[CODIGO]],Taller2585[[Código]:[Referencia]],3,0)</x:f>
        <x:v>#N/A</x:v>
      </x:c>
    </x:row>
    <x:row r="211">
      <x:c r="C211" s="16" t="e">
        <x:f>VLOOKUP(Tabla2[[#This Row],[CODIGO]],Taller2585[[Código]:[Descripción ]],2,0)</x:f>
        <x:v>#N/A</x:v>
      </x:c>
      <x:c r="D211" s="16" t="e">
        <x:f>VLOOKUP(Tabla2[[#This Row],[CODIGO]],Taller2585[[Código]:[Referencia]],3,0)</x:f>
        <x:v>#N/A</x:v>
      </x:c>
    </x:row>
    <x:row r="212">
      <x:c r="C212" s="16" t="e">
        <x:f>VLOOKUP(Tabla2[[#This Row],[CODIGO]],Taller2585[[Código]:[Descripción ]],2,0)</x:f>
        <x:v>#N/A</x:v>
      </x:c>
      <x:c r="D212" s="16" t="e">
        <x:f>VLOOKUP(Tabla2[[#This Row],[CODIGO]],Taller2585[[Código]:[Referencia]],3,0)</x:f>
        <x:v>#N/A</x:v>
      </x:c>
    </x:row>
    <x:row r="213">
      <x:c r="C213" s="16" t="e">
        <x:f>VLOOKUP(Tabla2[[#This Row],[CODIGO]],Taller2585[[Código]:[Descripción ]],2,0)</x:f>
        <x:v>#N/A</x:v>
      </x:c>
      <x:c r="D213" s="16" t="e">
        <x:f>VLOOKUP(Tabla2[[#This Row],[CODIGO]],Taller2585[[Código]:[Referencia]],3,0)</x:f>
        <x:v>#N/A</x:v>
      </x:c>
    </x:row>
    <x:row r="214">
      <x:c r="C214" s="16" t="e">
        <x:f>VLOOKUP(Tabla2[[#This Row],[CODIGO]],Taller2585[[Código]:[Descripción ]],2,0)</x:f>
        <x:v>#N/A</x:v>
      </x:c>
      <x:c r="D214" s="16" t="e">
        <x:f>VLOOKUP(Tabla2[[#This Row],[CODIGO]],Taller2585[[Código]:[Referencia]],3,0)</x:f>
        <x:v>#N/A</x:v>
      </x:c>
    </x:row>
    <x:row r="215">
      <x:c r="C215" s="16" t="e">
        <x:f>VLOOKUP(Tabla2[[#This Row],[CODIGO]],Taller2585[[Código]:[Descripción ]],2,0)</x:f>
        <x:v>#N/A</x:v>
      </x:c>
      <x:c r="D215" s="16" t="e">
        <x:f>VLOOKUP(Tabla2[[#This Row],[CODIGO]],Taller2585[[Código]:[Referencia]],3,0)</x:f>
        <x:v>#N/A</x:v>
      </x:c>
    </x:row>
    <x:row r="216">
      <x:c r="C216" s="16" t="e">
        <x:f>VLOOKUP(Tabla2[[#This Row],[CODIGO]],Taller2585[[Código]:[Descripción ]],2,0)</x:f>
        <x:v>#N/A</x:v>
      </x:c>
      <x:c r="D216" s="16" t="e">
        <x:f>VLOOKUP(Tabla2[[#This Row],[CODIGO]],Taller2585[[Código]:[Referencia]],3,0)</x:f>
        <x:v>#N/A</x:v>
      </x:c>
    </x:row>
    <x:row r="217">
      <x:c r="C217" s="16" t="e">
        <x:f>VLOOKUP(Tabla2[[#This Row],[CODIGO]],Taller2585[[Código]:[Descripción ]],2,0)</x:f>
        <x:v>#N/A</x:v>
      </x:c>
      <x:c r="D217" s="16" t="e">
        <x:f>VLOOKUP(Tabla2[[#This Row],[CODIGO]],Taller2585[[Código]:[Referencia]],3,0)</x:f>
        <x:v>#N/A</x:v>
      </x:c>
    </x:row>
    <x:row r="218">
      <x:c r="C218" s="16" t="e">
        <x:f>VLOOKUP(Tabla2[[#This Row],[CODIGO]],Taller2585[[Código]:[Descripción ]],2,0)</x:f>
        <x:v>#N/A</x:v>
      </x:c>
      <x:c r="D218" s="16" t="e">
        <x:f>VLOOKUP(Tabla2[[#This Row],[CODIGO]],Taller2585[[Código]:[Referencia]],3,0)</x:f>
        <x:v>#N/A</x:v>
      </x:c>
    </x:row>
    <x:row r="219">
      <x:c r="C219" s="16" t="e">
        <x:f>VLOOKUP(Tabla2[[#This Row],[CODIGO]],Taller2585[[Código]:[Descripción ]],2,0)</x:f>
        <x:v>#N/A</x:v>
      </x:c>
      <x:c r="D219" s="16" t="e">
        <x:f>VLOOKUP(Tabla2[[#This Row],[CODIGO]],Taller2585[[Código]:[Referencia]],3,0)</x:f>
        <x:v>#N/A</x:v>
      </x:c>
    </x:row>
    <x:row r="220">
      <x:c r="C220" s="16" t="e">
        <x:f>VLOOKUP(Tabla2[[#This Row],[CODIGO]],Taller2585[[Código]:[Descripción ]],2,0)</x:f>
        <x:v>#N/A</x:v>
      </x:c>
      <x:c r="D220" s="16" t="e">
        <x:f>VLOOKUP(Tabla2[[#This Row],[CODIGO]],Taller2585[[Código]:[Referencia]],3,0)</x:f>
        <x:v>#N/A</x:v>
      </x:c>
    </x:row>
    <x:row r="221">
      <x:c r="C221" s="16" t="e">
        <x:f>VLOOKUP(Tabla2[[#This Row],[CODIGO]],Taller2585[[Código]:[Descripción ]],2,0)</x:f>
        <x:v>#N/A</x:v>
      </x:c>
      <x:c r="D221" s="16" t="e">
        <x:f>VLOOKUP(Tabla2[[#This Row],[CODIGO]],Taller2585[[Código]:[Referencia]],3,0)</x:f>
        <x:v>#N/A</x:v>
      </x:c>
    </x:row>
    <x:row r="222">
      <x:c r="C222" s="16" t="e">
        <x:f>VLOOKUP(Tabla2[[#This Row],[CODIGO]],Taller2585[[Código]:[Descripción ]],2,0)</x:f>
        <x:v>#N/A</x:v>
      </x:c>
      <x:c r="D222" s="16" t="e">
        <x:f>VLOOKUP(Tabla2[[#This Row],[CODIGO]],Taller2585[[Código]:[Referencia]],3,0)</x:f>
        <x:v>#N/A</x:v>
      </x:c>
    </x:row>
    <x:row r="223">
      <x:c r="C223" s="16" t="e">
        <x:f>VLOOKUP(Tabla2[[#This Row],[CODIGO]],Taller2585[[Código]:[Descripción ]],2,0)</x:f>
        <x:v>#N/A</x:v>
      </x:c>
      <x:c r="D223" s="16" t="e">
        <x:f>VLOOKUP(Tabla2[[#This Row],[CODIGO]],Taller2585[[Código]:[Referencia]],3,0)</x:f>
        <x:v>#N/A</x:v>
      </x:c>
    </x:row>
    <x:row r="224">
      <x:c r="C224" s="16" t="e">
        <x:f>VLOOKUP(Tabla2[[#This Row],[CODIGO]],Taller2585[[Código]:[Descripción ]],2,0)</x:f>
        <x:v>#N/A</x:v>
      </x:c>
      <x:c r="D224" s="16" t="e">
        <x:f>VLOOKUP(Tabla2[[#This Row],[CODIGO]],Taller2585[[Código]:[Referencia]],3,0)</x:f>
        <x:v>#N/A</x:v>
      </x:c>
    </x:row>
    <x:row r="225">
      <x:c r="C225" s="16" t="e">
        <x:f>VLOOKUP(Tabla2[[#This Row],[CODIGO]],Taller2585[[Código]:[Descripción ]],2,0)</x:f>
        <x:v>#N/A</x:v>
      </x:c>
      <x:c r="D225" s="16" t="e">
        <x:f>VLOOKUP(Tabla2[[#This Row],[CODIGO]],Taller2585[[Código]:[Referencia]],3,0)</x:f>
        <x:v>#N/A</x:v>
      </x:c>
    </x:row>
    <x:row r="226">
      <x:c r="C226" s="16" t="e">
        <x:f>VLOOKUP(Tabla2[[#This Row],[CODIGO]],Taller2585[[Código]:[Descripción ]],2,0)</x:f>
        <x:v>#N/A</x:v>
      </x:c>
      <x:c r="D226" s="16" t="e">
        <x:f>VLOOKUP(Tabla2[[#This Row],[CODIGO]],Taller2585[[Código]:[Referencia]],3,0)</x:f>
        <x:v>#N/A</x:v>
      </x:c>
    </x:row>
    <x:row r="227">
      <x:c r="C227" s="16" t="e">
        <x:f>VLOOKUP(Tabla2[[#This Row],[CODIGO]],Taller2585[[Código]:[Descripción ]],2,0)</x:f>
        <x:v>#N/A</x:v>
      </x:c>
      <x:c r="D227" s="16" t="e">
        <x:f>VLOOKUP(Tabla2[[#This Row],[CODIGO]],Taller2585[[Código]:[Referencia]],3,0)</x:f>
        <x:v>#N/A</x:v>
      </x:c>
    </x:row>
    <x:row r="228">
      <x:c r="C228" s="16" t="e">
        <x:f>VLOOKUP(Tabla2[[#This Row],[CODIGO]],Taller2585[[Código]:[Descripción ]],2,0)</x:f>
        <x:v>#N/A</x:v>
      </x:c>
      <x:c r="D228" s="16" t="e">
        <x:f>VLOOKUP(Tabla2[[#This Row],[CODIGO]],Taller2585[[Código]:[Referencia]],3,0)</x:f>
        <x:v>#N/A</x:v>
      </x:c>
    </x:row>
    <x:row r="229">
      <x:c r="C229" s="16" t="e">
        <x:f>VLOOKUP(Tabla2[[#This Row],[CODIGO]],Taller2585[[Código]:[Descripción ]],2,0)</x:f>
        <x:v>#N/A</x:v>
      </x:c>
      <x:c r="D229" s="16" t="e">
        <x:f>VLOOKUP(Tabla2[[#This Row],[CODIGO]],Taller2585[[Código]:[Referencia]],3,0)</x:f>
        <x:v>#N/A</x:v>
      </x:c>
    </x:row>
    <x:row r="230">
      <x:c r="C230" s="16" t="e">
        <x:f>VLOOKUP(Tabla2[[#This Row],[CODIGO]],Taller2585[[Código]:[Descripción ]],2,0)</x:f>
        <x:v>#N/A</x:v>
      </x:c>
      <x:c r="D230" s="16" t="e">
        <x:f>VLOOKUP(Tabla2[[#This Row],[CODIGO]],Taller2585[[Código]:[Referencia]],3,0)</x:f>
        <x:v>#N/A</x:v>
      </x:c>
    </x:row>
    <x:row r="231">
      <x:c r="C231" s="16" t="e">
        <x:f>VLOOKUP(Tabla2[[#This Row],[CODIGO]],Taller2585[[Código]:[Descripción ]],2,0)</x:f>
        <x:v>#N/A</x:v>
      </x:c>
      <x:c r="D231" s="16" t="e">
        <x:f>VLOOKUP(Tabla2[[#This Row],[CODIGO]],Taller2585[[Código]:[Referencia]],3,0)</x:f>
        <x:v>#N/A</x:v>
      </x:c>
    </x:row>
    <x:row r="232">
      <x:c r="C232" s="16" t="e">
        <x:f>VLOOKUP(Tabla2[[#This Row],[CODIGO]],Taller2585[[Código]:[Descripción ]],2,0)</x:f>
        <x:v>#N/A</x:v>
      </x:c>
      <x:c r="D232" s="16" t="e">
        <x:f>VLOOKUP(Tabla2[[#This Row],[CODIGO]],Taller2585[[Código]:[Referencia]],3,0)</x:f>
        <x:v>#N/A</x:v>
      </x:c>
    </x:row>
    <x:row r="233">
      <x:c r="C233" s="16" t="e">
        <x:f>VLOOKUP(Tabla2[[#This Row],[CODIGO]],Taller2585[[Código]:[Descripción ]],2,0)</x:f>
        <x:v>#N/A</x:v>
      </x:c>
      <x:c r="D233" s="16" t="e">
        <x:f>VLOOKUP(Tabla2[[#This Row],[CODIGO]],Taller2585[[Código]:[Referencia]],3,0)</x:f>
        <x:v>#N/A</x:v>
      </x:c>
    </x:row>
    <x:row r="234">
      <x:c r="C234" s="16" t="e">
        <x:f>VLOOKUP(Tabla2[[#This Row],[CODIGO]],Taller2585[[Código]:[Descripción ]],2,0)</x:f>
        <x:v>#N/A</x:v>
      </x:c>
      <x:c r="D234" s="16" t="e">
        <x:f>VLOOKUP(Tabla2[[#This Row],[CODIGO]],Taller2585[[Código]:[Referencia]],3,0)</x:f>
        <x:v>#N/A</x:v>
      </x:c>
    </x:row>
    <x:row r="235">
      <x:c r="C235" s="16" t="e">
        <x:f>VLOOKUP(Tabla2[[#This Row],[CODIGO]],Taller2585[[Código]:[Descripción ]],2,0)</x:f>
        <x:v>#N/A</x:v>
      </x:c>
      <x:c r="D235" s="16" t="e">
        <x:f>VLOOKUP(Tabla2[[#This Row],[CODIGO]],Taller2585[[Código]:[Referencia]],3,0)</x:f>
        <x:v>#N/A</x:v>
      </x:c>
    </x:row>
    <x:row r="236">
      <x:c r="C236" s="16" t="e">
        <x:f>VLOOKUP(Tabla2[[#This Row],[CODIGO]],Taller2585[[Código]:[Descripción ]],2,0)</x:f>
        <x:v>#N/A</x:v>
      </x:c>
      <x:c r="D236" s="16" t="e">
        <x:f>VLOOKUP(Tabla2[[#This Row],[CODIGO]],Taller2585[[Código]:[Referencia]],3,0)</x:f>
        <x:v>#N/A</x:v>
      </x:c>
    </x:row>
    <x:row r="237">
      <x:c r="C237" s="16" t="e">
        <x:f>VLOOKUP(Tabla2[[#This Row],[CODIGO]],Taller2585[[Código]:[Descripción ]],2,0)</x:f>
        <x:v>#N/A</x:v>
      </x:c>
      <x:c r="D237" s="16" t="e">
        <x:f>VLOOKUP(Tabla2[[#This Row],[CODIGO]],Taller2585[[Código]:[Referencia]],3,0)</x:f>
        <x:v>#N/A</x:v>
      </x:c>
    </x:row>
    <x:row r="238">
      <x:c r="C238" s="16" t="e">
        <x:f>VLOOKUP(Tabla2[[#This Row],[CODIGO]],Taller2585[[Código]:[Descripción ]],2,0)</x:f>
        <x:v>#N/A</x:v>
      </x:c>
      <x:c r="D238" s="16" t="e">
        <x:f>VLOOKUP(Tabla2[[#This Row],[CODIGO]],Taller2585[[Código]:[Referencia]],3,0)</x:f>
        <x:v>#N/A</x:v>
      </x:c>
    </x:row>
    <x:row r="239">
      <x:c r="C239" s="16" t="e">
        <x:f>VLOOKUP(Tabla2[[#This Row],[CODIGO]],Taller2585[[Código]:[Descripción ]],2,0)</x:f>
        <x:v>#N/A</x:v>
      </x:c>
      <x:c r="D239" s="16" t="e">
        <x:f>VLOOKUP(Tabla2[[#This Row],[CODIGO]],Taller2585[[Código]:[Referencia]],3,0)</x:f>
        <x:v>#N/A</x:v>
      </x:c>
    </x:row>
    <x:row r="240">
      <x:c r="C240" s="16" t="e">
        <x:f>VLOOKUP(Tabla2[[#This Row],[CODIGO]],Taller2585[[Código]:[Descripción ]],2,0)</x:f>
        <x:v>#N/A</x:v>
      </x:c>
      <x:c r="D240" s="16" t="e">
        <x:f>VLOOKUP(Tabla2[[#This Row],[CODIGO]],Taller2585[[Código]:[Referencia]],3,0)</x:f>
        <x:v>#N/A</x:v>
      </x:c>
    </x:row>
    <x:row r="241">
      <x:c r="C241" s="16" t="e">
        <x:f>VLOOKUP(Tabla2[[#This Row],[CODIGO]],Taller2585[[Código]:[Descripción ]],2,0)</x:f>
        <x:v>#N/A</x:v>
      </x:c>
      <x:c r="D241" s="16" t="e">
        <x:f>VLOOKUP(Tabla2[[#This Row],[CODIGO]],Taller2585[[Código]:[Referencia]],3,0)</x:f>
        <x:v>#N/A</x:v>
      </x:c>
    </x:row>
    <x:row r="242">
      <x:c r="C242" s="16" t="e">
        <x:f>VLOOKUP(Tabla2[[#This Row],[CODIGO]],Taller2585[[Código]:[Descripción ]],2,0)</x:f>
        <x:v>#N/A</x:v>
      </x:c>
      <x:c r="D242" s="16" t="e">
        <x:f>VLOOKUP(Tabla2[[#This Row],[CODIGO]],Taller2585[[Código]:[Referencia]],3,0)</x:f>
        <x:v>#N/A</x:v>
      </x:c>
    </x:row>
    <x:row r="243">
      <x:c r="C243" s="16" t="e">
        <x:f>VLOOKUP(Tabla2[[#This Row],[CODIGO]],Taller2585[[Código]:[Descripción ]],2,0)</x:f>
        <x:v>#N/A</x:v>
      </x:c>
      <x:c r="D243" s="16" t="e">
        <x:f>VLOOKUP(Tabla2[[#This Row],[CODIGO]],Taller2585[[Código]:[Referencia]],3,0)</x:f>
        <x:v>#N/A</x:v>
      </x:c>
    </x:row>
    <x:row r="244">
      <x:c r="C244" s="16" t="e">
        <x:f>VLOOKUP(Tabla2[[#This Row],[CODIGO]],Taller2585[[Código]:[Descripción ]],2,0)</x:f>
        <x:v>#N/A</x:v>
      </x:c>
      <x:c r="D244" s="16" t="e">
        <x:f>VLOOKUP(Tabla2[[#This Row],[CODIGO]],Taller2585[[Código]:[Referencia]],3,0)</x:f>
        <x:v>#N/A</x:v>
      </x:c>
    </x:row>
    <x:row r="245">
      <x:c r="C245" s="16" t="e">
        <x:f>VLOOKUP(Tabla2[[#This Row],[CODIGO]],Taller2585[[Código]:[Descripción ]],2,0)</x:f>
        <x:v>#N/A</x:v>
      </x:c>
      <x:c r="D245" s="16" t="e">
        <x:f>VLOOKUP(Tabla2[[#This Row],[CODIGO]],Taller2585[[Código]:[Referencia]],3,0)</x:f>
        <x:v>#N/A</x:v>
      </x:c>
    </x:row>
    <x:row r="246">
      <x:c r="C246" s="16" t="e">
        <x:f>VLOOKUP(Tabla2[[#This Row],[CODIGO]],Taller2585[[Código]:[Descripción ]],2,0)</x:f>
        <x:v>#N/A</x:v>
      </x:c>
      <x:c r="D246" s="16" t="e">
        <x:f>VLOOKUP(Tabla2[[#This Row],[CODIGO]],Taller2585[[Código]:[Referencia]],3,0)</x:f>
        <x:v>#N/A</x:v>
      </x:c>
    </x:row>
    <x:row r="247">
      <x:c r="C247" s="16" t="e">
        <x:f>VLOOKUP(Tabla2[[#This Row],[CODIGO]],Taller2585[[Código]:[Descripción ]],2,0)</x:f>
        <x:v>#N/A</x:v>
      </x:c>
      <x:c r="D247" s="16" t="e">
        <x:f>VLOOKUP(Tabla2[[#This Row],[CODIGO]],Taller2585[[Código]:[Referencia]],3,0)</x:f>
        <x:v>#N/A</x:v>
      </x:c>
    </x:row>
    <x:row r="248">
      <x:c r="C248" s="16" t="e">
        <x:f>VLOOKUP(Tabla2[[#This Row],[CODIGO]],Taller2585[[Código]:[Descripción ]],2,0)</x:f>
        <x:v>#N/A</x:v>
      </x:c>
      <x:c r="D248" s="16" t="e">
        <x:f>VLOOKUP(Tabla2[[#This Row],[CODIGO]],Taller2585[[Código]:[Referencia]],3,0)</x:f>
        <x:v>#N/A</x:v>
      </x:c>
    </x:row>
    <x:row r="249">
      <x:c r="C249" s="16" t="e">
        <x:f>VLOOKUP(Tabla2[[#This Row],[CODIGO]],Taller2585[[Código]:[Descripción ]],2,0)</x:f>
        <x:v>#N/A</x:v>
      </x:c>
      <x:c r="D249" s="16" t="e">
        <x:f>VLOOKUP(Tabla2[[#This Row],[CODIGO]],Taller2585[[Código]:[Referencia]],3,0)</x:f>
        <x:v>#N/A</x:v>
      </x:c>
    </x:row>
    <x:row r="250">
      <x:c r="C250" s="16" t="e">
        <x:f>VLOOKUP(Tabla2[[#This Row],[CODIGO]],Taller2585[[Código]:[Descripción ]],2,0)</x:f>
        <x:v>#N/A</x:v>
      </x:c>
      <x:c r="D250" s="16" t="e">
        <x:f>VLOOKUP(Tabla2[[#This Row],[CODIGO]],Taller2585[[Código]:[Referencia]],3,0)</x:f>
        <x:v>#N/A</x:v>
      </x:c>
    </x:row>
    <x:row r="251">
      <x:c r="C251" s="16" t="e">
        <x:f>VLOOKUP(Tabla2[[#This Row],[CODIGO]],Taller2585[[Código]:[Descripción ]],2,0)</x:f>
        <x:v>#N/A</x:v>
      </x:c>
      <x:c r="D251" s="16" t="e">
        <x:f>VLOOKUP(Tabla2[[#This Row],[CODIGO]],Taller2585[[Código]:[Referencia]],3,0)</x:f>
        <x:v>#N/A</x:v>
      </x:c>
    </x:row>
    <x:row r="252">
      <x:c r="C252" s="16" t="e">
        <x:f>VLOOKUP(Tabla2[[#This Row],[CODIGO]],Taller2585[[Código]:[Descripción ]],2,0)</x:f>
        <x:v>#N/A</x:v>
      </x:c>
      <x:c r="D252" s="16" t="e">
        <x:f>VLOOKUP(Tabla2[[#This Row],[CODIGO]],Taller2585[[Código]:[Referencia]],3,0)</x:f>
        <x:v>#N/A</x:v>
      </x:c>
    </x:row>
    <x:row r="253">
      <x:c r="C253" s="16" t="e">
        <x:f>VLOOKUP(Tabla2[[#This Row],[CODIGO]],Taller2585[[Código]:[Descripción ]],2,0)</x:f>
        <x:v>#N/A</x:v>
      </x:c>
      <x:c r="D253" s="16" t="e">
        <x:f>VLOOKUP(Tabla2[[#This Row],[CODIGO]],Taller2585[[Código]:[Referencia]],3,0)</x:f>
        <x:v>#N/A</x:v>
      </x:c>
    </x:row>
    <x:row r="254">
      <x:c r="C254" s="16" t="e">
        <x:f>VLOOKUP(Tabla2[[#This Row],[CODIGO]],Taller2585[[Código]:[Descripción ]],2,0)</x:f>
        <x:v>#N/A</x:v>
      </x:c>
      <x:c r="D254" s="16" t="e">
        <x:f>VLOOKUP(Tabla2[[#This Row],[CODIGO]],Taller2585[[Código]:[Referencia]],3,0)</x:f>
        <x:v>#N/A</x:v>
      </x:c>
    </x:row>
    <x:row r="255">
      <x:c r="C255" s="16" t="e">
        <x:f>VLOOKUP(Tabla2[[#This Row],[CODIGO]],Taller2585[[Código]:[Descripción ]],2,0)</x:f>
        <x:v>#N/A</x:v>
      </x:c>
      <x:c r="D255" s="16" t="e">
        <x:f>VLOOKUP(Tabla2[[#This Row],[CODIGO]],Taller2585[[Código]:[Referencia]],3,0)</x:f>
        <x:v>#N/A</x:v>
      </x:c>
    </x:row>
    <x:row r="256">
      <x:c r="C256" s="16" t="e">
        <x:f>VLOOKUP(Tabla2[[#This Row],[CODIGO]],Taller2585[[Código]:[Descripción ]],2,0)</x:f>
        <x:v>#N/A</x:v>
      </x:c>
      <x:c r="D256" s="16" t="e">
        <x:f>VLOOKUP(Tabla2[[#This Row],[CODIGO]],Taller2585[[Código]:[Referencia]],3,0)</x:f>
        <x:v>#N/A</x:v>
      </x:c>
    </x:row>
    <x:row r="257">
      <x:c r="C257" s="16" t="e">
        <x:f>VLOOKUP(Tabla2[[#This Row],[CODIGO]],Taller2585[[Código]:[Descripción ]],2,0)</x:f>
        <x:v>#N/A</x:v>
      </x:c>
      <x:c r="D257" s="16" t="e">
        <x:f>VLOOKUP(Tabla2[[#This Row],[CODIGO]],Taller2585[[Código]:[Referencia]],3,0)</x:f>
        <x:v>#N/A</x:v>
      </x:c>
    </x:row>
    <x:row r="258">
      <x:c r="C258" s="16" t="e">
        <x:f>VLOOKUP(Tabla2[[#This Row],[CODIGO]],Taller2585[[Código]:[Descripción ]],2,0)</x:f>
        <x:v>#N/A</x:v>
      </x:c>
      <x:c r="D258" s="16" t="e">
        <x:f>VLOOKUP(Tabla2[[#This Row],[CODIGO]],Taller2585[[Código]:[Referencia]],3,0)</x:f>
        <x:v>#N/A</x:v>
      </x:c>
    </x:row>
    <x:row r="259">
      <x:c r="C259" s="16" t="e">
        <x:f>VLOOKUP(Tabla2[[#This Row],[CODIGO]],Taller2585[[Código]:[Descripción ]],2,0)</x:f>
        <x:v>#N/A</x:v>
      </x:c>
      <x:c r="D259" s="16" t="e">
        <x:f>VLOOKUP(Tabla2[[#This Row],[CODIGO]],Taller2585[[Código]:[Referencia]],3,0)</x:f>
        <x:v>#N/A</x:v>
      </x:c>
    </x:row>
    <x:row r="260">
      <x:c r="C260" s="16" t="e">
        <x:f>VLOOKUP(Tabla2[[#This Row],[CODIGO]],Taller2585[[Código]:[Descripción ]],2,0)</x:f>
        <x:v>#N/A</x:v>
      </x:c>
      <x:c r="D260" s="16" t="e">
        <x:f>VLOOKUP(Tabla2[[#This Row],[CODIGO]],Taller2585[[Código]:[Referencia]],3,0)</x:f>
        <x:v>#N/A</x:v>
      </x:c>
    </x:row>
    <x:row r="261">
      <x:c r="C261" s="16" t="e">
        <x:f>VLOOKUP(Tabla2[[#This Row],[CODIGO]],Taller2585[[Código]:[Descripción ]],2,0)</x:f>
        <x:v>#N/A</x:v>
      </x:c>
      <x:c r="D261" s="16" t="e">
        <x:f>VLOOKUP(Tabla2[[#This Row],[CODIGO]],Taller2585[[Código]:[Referencia]],3,0)</x:f>
        <x:v>#N/A</x:v>
      </x:c>
    </x:row>
    <x:row r="262">
      <x:c r="C262" s="16" t="e">
        <x:f>VLOOKUP(Tabla2[[#This Row],[CODIGO]],Taller2585[[Código]:[Descripción ]],2,0)</x:f>
        <x:v>#N/A</x:v>
      </x:c>
      <x:c r="D262" s="16" t="e">
        <x:f>VLOOKUP(Tabla2[[#This Row],[CODIGO]],Taller2585[[Código]:[Referencia]],3,0)</x:f>
        <x:v>#N/A</x:v>
      </x:c>
    </x:row>
    <x:row r="263">
      <x:c r="C263" s="16" t="e">
        <x:f>VLOOKUP(Tabla2[[#This Row],[CODIGO]],Taller2585[[Código]:[Descripción ]],2,0)</x:f>
        <x:v>#N/A</x:v>
      </x:c>
      <x:c r="D263" s="16" t="e">
        <x:f>VLOOKUP(Tabla2[[#This Row],[CODIGO]],Taller2585[[Código]:[Referencia]],3,0)</x:f>
        <x:v>#N/A</x:v>
      </x:c>
    </x:row>
    <x:row r="264">
      <x:c r="C264" s="16" t="e">
        <x:f>VLOOKUP(Tabla2[[#This Row],[CODIGO]],Taller2585[[Código]:[Descripción ]],2,0)</x:f>
        <x:v>#N/A</x:v>
      </x:c>
      <x:c r="D264" s="16" t="e">
        <x:f>VLOOKUP(Tabla2[[#This Row],[CODIGO]],Taller2585[[Código]:[Referencia]],3,0)</x:f>
        <x:v>#N/A</x:v>
      </x:c>
    </x:row>
    <x:row r="265">
      <x:c r="C265" s="16" t="e">
        <x:f>VLOOKUP(Tabla2[[#This Row],[CODIGO]],Taller2585[[Código]:[Descripción ]],2,0)</x:f>
        <x:v>#N/A</x:v>
      </x:c>
      <x:c r="D265" s="16" t="e">
        <x:f>VLOOKUP(Tabla2[[#This Row],[CODIGO]],Taller2585[[Código]:[Referencia]],3,0)</x:f>
        <x:v>#N/A</x:v>
      </x:c>
    </x:row>
    <x:row r="266">
      <x:c r="C266" s="16" t="e">
        <x:f>VLOOKUP(Tabla2[[#This Row],[CODIGO]],Taller2585[[Código]:[Descripción ]],2,0)</x:f>
        <x:v>#N/A</x:v>
      </x:c>
      <x:c r="D266" s="16" t="e">
        <x:f>VLOOKUP(Tabla2[[#This Row],[CODIGO]],Taller2585[[Código]:[Referencia]],3,0)</x:f>
        <x:v>#N/A</x:v>
      </x:c>
    </x:row>
    <x:row r="267">
      <x:c r="C267" s="16" t="e">
        <x:f>VLOOKUP(Tabla2[[#This Row],[CODIGO]],Taller2585[[Código]:[Descripción ]],2,0)</x:f>
        <x:v>#N/A</x:v>
      </x:c>
      <x:c r="D267" s="16" t="e">
        <x:f>VLOOKUP(Tabla2[[#This Row],[CODIGO]],Taller2585[[Código]:[Referencia]],3,0)</x:f>
        <x:v>#N/A</x:v>
      </x:c>
    </x:row>
    <x:row r="268">
      <x:c r="C268" s="16" t="e">
        <x:f>VLOOKUP(Tabla2[[#This Row],[CODIGO]],Taller2585[[Código]:[Descripción ]],2,0)</x:f>
        <x:v>#N/A</x:v>
      </x:c>
      <x:c r="D268" s="16" t="e">
        <x:f>VLOOKUP(Tabla2[[#This Row],[CODIGO]],Taller2585[[Código]:[Referencia]],3,0)</x:f>
        <x:v>#N/A</x:v>
      </x:c>
    </x:row>
    <x:row r="269">
      <x:c r="C269" s="16" t="e">
        <x:f>VLOOKUP(Tabla2[[#This Row],[CODIGO]],Taller2585[[Código]:[Descripción ]],2,0)</x:f>
        <x:v>#N/A</x:v>
      </x:c>
      <x:c r="D269" s="16" t="e">
        <x:f>VLOOKUP(Tabla2[[#This Row],[CODIGO]],Taller2585[[Código]:[Referencia]],3,0)</x:f>
        <x:v>#N/A</x:v>
      </x:c>
    </x:row>
    <x:row r="270">
      <x:c r="C270" s="16" t="e">
        <x:f>VLOOKUP(Tabla2[[#This Row],[CODIGO]],Taller2585[[Código]:[Descripción ]],2,0)</x:f>
        <x:v>#N/A</x:v>
      </x:c>
      <x:c r="D270" s="16" t="e">
        <x:f>VLOOKUP(Tabla2[[#This Row],[CODIGO]],Taller2585[[Código]:[Referencia]],3,0)</x:f>
        <x:v>#N/A</x:v>
      </x:c>
    </x:row>
    <x:row r="271">
      <x:c r="C271" s="16" t="e">
        <x:f>VLOOKUP(Tabla2[[#This Row],[CODIGO]],Taller2585[[Código]:[Descripción ]],2,0)</x:f>
        <x:v>#N/A</x:v>
      </x:c>
      <x:c r="D271" s="16" t="e">
        <x:f>VLOOKUP(Tabla2[[#This Row],[CODIGO]],Taller2585[[Código]:[Referencia]],3,0)</x:f>
        <x:v>#N/A</x:v>
      </x:c>
    </x:row>
    <x:row r="272">
      <x:c r="C272" s="16" t="e">
        <x:f>VLOOKUP(Tabla2[[#This Row],[CODIGO]],Taller2585[[Código]:[Descripción ]],2,0)</x:f>
        <x:v>#N/A</x:v>
      </x:c>
      <x:c r="D272" s="16" t="e">
        <x:f>VLOOKUP(Tabla2[[#This Row],[CODIGO]],Taller2585[[Código]:[Referencia]],3,0)</x:f>
        <x:v>#N/A</x:v>
      </x:c>
    </x:row>
    <x:row r="273">
      <x:c r="C273" s="16" t="e">
        <x:f>VLOOKUP(Tabla2[[#This Row],[CODIGO]],Taller2585[[Código]:[Descripción ]],2,0)</x:f>
        <x:v>#N/A</x:v>
      </x:c>
      <x:c r="D273" s="16" t="e">
        <x:f>VLOOKUP(Tabla2[[#This Row],[CODIGO]],Taller2585[[Código]:[Referencia]],3,0)</x:f>
        <x:v>#N/A</x:v>
      </x:c>
    </x:row>
    <x:row r="274">
      <x:c r="C274" s="16" t="e">
        <x:f>VLOOKUP(Tabla2[[#This Row],[CODIGO]],Taller2585[[Código]:[Descripción ]],2,0)</x:f>
        <x:v>#N/A</x:v>
      </x:c>
      <x:c r="D274" s="16" t="e">
        <x:f>VLOOKUP(Tabla2[[#This Row],[CODIGO]],Taller2585[[Código]:[Referencia]],3,0)</x:f>
        <x:v>#N/A</x:v>
      </x:c>
    </x:row>
    <x:row r="275">
      <x:c r="C275" s="16" t="e">
        <x:f>VLOOKUP(Tabla2[[#This Row],[CODIGO]],Taller2585[[Código]:[Descripción ]],2,0)</x:f>
        <x:v>#N/A</x:v>
      </x:c>
      <x:c r="D275" s="16" t="e">
        <x:f>VLOOKUP(Tabla2[[#This Row],[CODIGO]],Taller2585[[Código]:[Referencia]],3,0)</x:f>
        <x:v>#N/A</x:v>
      </x:c>
    </x:row>
    <x:row r="276">
      <x:c r="C276" s="16" t="e">
        <x:f>VLOOKUP(Tabla2[[#This Row],[CODIGO]],Taller2585[[Código]:[Descripción ]],2,0)</x:f>
        <x:v>#N/A</x:v>
      </x:c>
      <x:c r="D276" s="16" t="e">
        <x:f>VLOOKUP(Tabla2[[#This Row],[CODIGO]],Taller2585[[Código]:[Referencia]],3,0)</x:f>
        <x:v>#N/A</x:v>
      </x:c>
    </x:row>
    <x:row r="277">
      <x:c r="C277" s="16" t="e">
        <x:f>VLOOKUP(Tabla2[[#This Row],[CODIGO]],Taller2585[[Código]:[Descripción ]],2,0)</x:f>
        <x:v>#N/A</x:v>
      </x:c>
      <x:c r="D277" s="16" t="e">
        <x:f>VLOOKUP(Tabla2[[#This Row],[CODIGO]],Taller2585[[Código]:[Referencia]],3,0)</x:f>
        <x:v>#N/A</x:v>
      </x:c>
    </x:row>
    <x:row r="278">
      <x:c r="C278" s="16" t="e">
        <x:f>VLOOKUP(Tabla2[[#This Row],[CODIGO]],Taller2585[[Código]:[Descripción ]],2,0)</x:f>
        <x:v>#N/A</x:v>
      </x:c>
      <x:c r="D278" s="16" t="e">
        <x:f>VLOOKUP(Tabla2[[#This Row],[CODIGO]],Taller2585[[Código]:[Referencia]],3,0)</x:f>
        <x:v>#N/A</x:v>
      </x:c>
    </x:row>
    <x:row r="279">
      <x:c r="C279" s="16" t="e">
        <x:f>VLOOKUP(Tabla2[[#This Row],[CODIGO]],Taller2585[[Código]:[Descripción ]],2,0)</x:f>
        <x:v>#N/A</x:v>
      </x:c>
      <x:c r="D279" s="16" t="e">
        <x:f>VLOOKUP(Tabla2[[#This Row],[CODIGO]],Taller2585[[Código]:[Referencia]],3,0)</x:f>
        <x:v>#N/A</x:v>
      </x:c>
    </x:row>
    <x:row r="280">
      <x:c r="C280" s="16" t="e">
        <x:f>VLOOKUP(Tabla2[[#This Row],[CODIGO]],Taller2585[[Código]:[Descripción ]],2,0)</x:f>
        <x:v>#N/A</x:v>
      </x:c>
      <x:c r="D280" s="16" t="e">
        <x:f>VLOOKUP(Tabla2[[#This Row],[CODIGO]],Taller2585[[Código]:[Referencia]],3,0)</x:f>
        <x:v>#N/A</x:v>
      </x:c>
    </x:row>
    <x:row r="281">
      <x:c r="C281" s="16" t="e">
        <x:f>VLOOKUP(Tabla2[[#This Row],[CODIGO]],Taller2585[[Código]:[Descripción ]],2,0)</x:f>
        <x:v>#N/A</x:v>
      </x:c>
      <x:c r="D281" s="16" t="e">
        <x:f>VLOOKUP(Tabla2[[#This Row],[CODIGO]],Taller2585[[Código]:[Referencia]],3,0)</x:f>
        <x:v>#N/A</x:v>
      </x:c>
    </x:row>
    <x:row r="282">
      <x:c r="C282" s="16" t="e">
        <x:f>VLOOKUP(Tabla2[[#This Row],[CODIGO]],Taller2585[[Código]:[Descripción ]],2,0)</x:f>
        <x:v>#N/A</x:v>
      </x:c>
      <x:c r="D282" s="16" t="e">
        <x:f>VLOOKUP(Tabla2[[#This Row],[CODIGO]],Taller2585[[Código]:[Referencia]],3,0)</x:f>
        <x:v>#N/A</x:v>
      </x:c>
    </x:row>
    <x:row r="283">
      <x:c r="C283" s="16" t="e">
        <x:f>VLOOKUP(Tabla2[[#This Row],[CODIGO]],Taller2585[[Código]:[Descripción ]],2,0)</x:f>
        <x:v>#N/A</x:v>
      </x:c>
      <x:c r="D283" s="16" t="e">
        <x:f>VLOOKUP(Tabla2[[#This Row],[CODIGO]],Taller2585[[Código]:[Referencia]],3,0)</x:f>
        <x:v>#N/A</x:v>
      </x:c>
    </x:row>
    <x:row r="284">
      <x:c r="C284" s="16" t="e">
        <x:f>VLOOKUP(Tabla2[[#This Row],[CODIGO]],Taller2585[[Código]:[Descripción ]],2,0)</x:f>
        <x:v>#N/A</x:v>
      </x:c>
      <x:c r="D284" s="16" t="e">
        <x:f>VLOOKUP(Tabla2[[#This Row],[CODIGO]],Taller2585[[Código]:[Referencia]],3,0)</x:f>
        <x:v>#N/A</x:v>
      </x:c>
    </x:row>
    <x:row r="285">
      <x:c r="C285" s="16" t="e">
        <x:f>VLOOKUP(Tabla2[[#This Row],[CODIGO]],Taller2585[[Código]:[Descripción ]],2,0)</x:f>
        <x:v>#N/A</x:v>
      </x:c>
      <x:c r="D285" s="16" t="e">
        <x:f>VLOOKUP(Tabla2[[#This Row],[CODIGO]],Taller2585[[Código]:[Referencia]],3,0)</x:f>
        <x:v>#N/A</x:v>
      </x:c>
    </x:row>
    <x:row r="286">
      <x:c r="C286" s="16" t="e">
        <x:f>VLOOKUP(Tabla2[[#This Row],[CODIGO]],Taller2585[[Código]:[Descripción ]],2,0)</x:f>
        <x:v>#N/A</x:v>
      </x:c>
      <x:c r="D286" s="16" t="e">
        <x:f>VLOOKUP(Tabla2[[#This Row],[CODIGO]],Taller2585[[Código]:[Referencia]],3,0)</x:f>
        <x:v>#N/A</x:v>
      </x:c>
    </x:row>
    <x:row r="287">
      <x:c r="C287" s="16" t="e">
        <x:f>VLOOKUP(Tabla2[[#This Row],[CODIGO]],Taller2585[[Código]:[Descripción ]],2,0)</x:f>
        <x:v>#N/A</x:v>
      </x:c>
      <x:c r="D287" s="16" t="e">
        <x:f>VLOOKUP(Tabla2[[#This Row],[CODIGO]],Taller2585[[Código]:[Referencia]],3,0)</x:f>
        <x:v>#N/A</x:v>
      </x:c>
    </x:row>
    <x:row r="288">
      <x:c r="C288" s="16" t="e">
        <x:f>VLOOKUP(Tabla2[[#This Row],[CODIGO]],Taller2585[[Código]:[Descripción ]],2,0)</x:f>
        <x:v>#N/A</x:v>
      </x:c>
      <x:c r="D288" s="16" t="e">
        <x:f>VLOOKUP(Tabla2[[#This Row],[CODIGO]],Taller2585[[Código]:[Referencia]],3,0)</x:f>
        <x:v>#N/A</x:v>
      </x:c>
    </x:row>
    <x:row r="289">
      <x:c r="C289" s="16" t="e">
        <x:f>VLOOKUP(Tabla2[[#This Row],[CODIGO]],Taller2585[[Código]:[Descripción ]],2,0)</x:f>
        <x:v>#N/A</x:v>
      </x:c>
      <x:c r="D289" s="16" t="e">
        <x:f>VLOOKUP(Tabla2[[#This Row],[CODIGO]],Taller2585[[Código]:[Referencia]],3,0)</x:f>
        <x:v>#N/A</x:v>
      </x:c>
    </x:row>
    <x:row r="290">
      <x:c r="C290" s="16" t="e">
        <x:f>VLOOKUP(Tabla2[[#This Row],[CODIGO]],Taller2585[[Código]:[Descripción ]],2,0)</x:f>
        <x:v>#N/A</x:v>
      </x:c>
      <x:c r="D290" s="16" t="e">
        <x:f>VLOOKUP(Tabla2[[#This Row],[CODIGO]],Taller2585[[Código]:[Referencia]],3,0)</x:f>
        <x:v>#N/A</x:v>
      </x:c>
    </x:row>
    <x:row r="291">
      <x:c r="C291" s="16" t="e">
        <x:f>VLOOKUP(Tabla2[[#This Row],[CODIGO]],Taller2585[[Código]:[Descripción ]],2,0)</x:f>
        <x:v>#N/A</x:v>
      </x:c>
      <x:c r="D291" s="16" t="e">
        <x:f>VLOOKUP(Tabla2[[#This Row],[CODIGO]],Taller2585[[Código]:[Referencia]],3,0)</x:f>
        <x:v>#N/A</x:v>
      </x:c>
    </x:row>
    <x:row r="292">
      <x:c r="C292" s="16" t="e">
        <x:f>VLOOKUP(Tabla2[[#This Row],[CODIGO]],Taller2585[[Código]:[Descripción ]],2,0)</x:f>
        <x:v>#N/A</x:v>
      </x:c>
      <x:c r="D292" s="16" t="e">
        <x:f>VLOOKUP(Tabla2[[#This Row],[CODIGO]],Taller2585[[Código]:[Referencia]],3,0)</x:f>
        <x:v>#N/A</x:v>
      </x:c>
    </x:row>
    <x:row r="293">
      <x:c r="C293" s="16" t="e">
        <x:f>VLOOKUP(Tabla2[[#This Row],[CODIGO]],Taller2585[[Código]:[Descripción ]],2,0)</x:f>
        <x:v>#N/A</x:v>
      </x:c>
      <x:c r="D293" s="16" t="e">
        <x:f>VLOOKUP(Tabla2[[#This Row],[CODIGO]],Taller2585[[Código]:[Referencia]],3,0)</x:f>
        <x:v>#N/A</x:v>
      </x:c>
    </x:row>
    <x:row r="294">
      <x:c r="C294" s="16" t="e">
        <x:f>VLOOKUP(Tabla2[[#This Row],[CODIGO]],Taller2585[[Código]:[Descripción ]],2,0)</x:f>
        <x:v>#N/A</x:v>
      </x:c>
      <x:c r="D294" s="16" t="e">
        <x:f>VLOOKUP(Tabla2[[#This Row],[CODIGO]],Taller2585[[Código]:[Referencia]],3,0)</x:f>
        <x:v>#N/A</x:v>
      </x:c>
    </x:row>
    <x:row r="295">
      <x:c r="C295" s="16" t="e">
        <x:f>VLOOKUP(Tabla2[[#This Row],[CODIGO]],Taller2585[[Código]:[Descripción ]],2,0)</x:f>
        <x:v>#N/A</x:v>
      </x:c>
      <x:c r="D295" s="16" t="e">
        <x:f>VLOOKUP(Tabla2[[#This Row],[CODIGO]],Taller2585[[Código]:[Referencia]],3,0)</x:f>
        <x:v>#N/A</x:v>
      </x:c>
    </x:row>
    <x:row r="296">
      <x:c r="C296" s="16" t="e">
        <x:f>VLOOKUP(Tabla2[[#This Row],[CODIGO]],Taller2585[[Código]:[Descripción ]],2,0)</x:f>
        <x:v>#N/A</x:v>
      </x:c>
      <x:c r="D296" s="16" t="e">
        <x:f>VLOOKUP(Tabla2[[#This Row],[CODIGO]],Taller2585[[Código]:[Referencia]],3,0)</x:f>
        <x:v>#N/A</x:v>
      </x:c>
    </x:row>
    <x:row r="297">
      <x:c r="C297" s="16" t="e">
        <x:f>VLOOKUP(Tabla2[[#This Row],[CODIGO]],Taller2585[[Código]:[Descripción ]],2,0)</x:f>
        <x:v>#N/A</x:v>
      </x:c>
      <x:c r="D297" s="16" t="e">
        <x:f>VLOOKUP(Tabla2[[#This Row],[CODIGO]],Taller2585[[Código]:[Referencia]],3,0)</x:f>
        <x:v>#N/A</x:v>
      </x:c>
    </x:row>
    <x:row r="298">
      <x:c r="C298" s="16" t="e">
        <x:f>VLOOKUP(Tabla2[[#This Row],[CODIGO]],Taller2585[[Código]:[Descripción ]],2,0)</x:f>
        <x:v>#N/A</x:v>
      </x:c>
      <x:c r="D298" s="16" t="e">
        <x:f>VLOOKUP(Tabla2[[#This Row],[CODIGO]],Taller2585[[Código]:[Referencia]],3,0)</x:f>
        <x:v>#N/A</x:v>
      </x:c>
    </x:row>
    <x:row r="299">
      <x:c r="C299" s="16" t="e">
        <x:f>VLOOKUP(Tabla2[[#This Row],[CODIGO]],Taller2585[[Código]:[Descripción ]],2,0)</x:f>
        <x:v>#N/A</x:v>
      </x:c>
      <x:c r="D299" s="16" t="e">
        <x:f>VLOOKUP(Tabla2[[#This Row],[CODIGO]],Taller2585[[Código]:[Referencia]],3,0)</x:f>
        <x:v>#N/A</x:v>
      </x:c>
    </x:row>
    <x:row r="300">
      <x:c r="C300" s="16" t="e">
        <x:f>VLOOKUP(Tabla2[[#This Row],[CODIGO]],Taller2585[[Código]:[Descripción ]],2,0)</x:f>
        <x:v>#N/A</x:v>
      </x:c>
      <x:c r="D300" s="16" t="e">
        <x:f>VLOOKUP(Tabla2[[#This Row],[CODIGO]],Taller2585[[Código]:[Referencia]],3,0)</x:f>
        <x:v>#N/A</x:v>
      </x:c>
    </x:row>
    <x:row r="301">
      <x:c r="C301" s="16" t="e">
        <x:f>VLOOKUP(Tabla2[[#This Row],[CODIGO]],Taller2585[[Código]:[Descripción ]],2,0)</x:f>
        <x:v>#N/A</x:v>
      </x:c>
      <x:c r="D301" s="16" t="e">
        <x:f>VLOOKUP(Tabla2[[#This Row],[CODIGO]],Taller2585[[Código]:[Referencia]],3,0)</x:f>
        <x:v>#N/A</x:v>
      </x:c>
    </x:row>
    <x:row r="302">
      <x:c r="C302" s="16" t="e">
        <x:f>VLOOKUP(Tabla2[[#This Row],[CODIGO]],Taller2585[[Código]:[Descripción ]],2,0)</x:f>
        <x:v>#N/A</x:v>
      </x:c>
      <x:c r="D302" s="16" t="e">
        <x:f>VLOOKUP(Tabla2[[#This Row],[CODIGO]],Taller2585[[Código]:[Referencia]],3,0)</x:f>
        <x:v>#N/A</x:v>
      </x:c>
    </x:row>
    <x:row r="303">
      <x:c r="C303" s="16" t="e">
        <x:f>VLOOKUP(Tabla2[[#This Row],[CODIGO]],Taller2585[[Código]:[Descripción ]],2,0)</x:f>
        <x:v>#N/A</x:v>
      </x:c>
      <x:c r="D303" s="16" t="e">
        <x:f>VLOOKUP(Tabla2[[#This Row],[CODIGO]],Taller2585[[Código]:[Referencia]],3,0)</x:f>
        <x:v>#N/A</x:v>
      </x:c>
    </x:row>
    <x:row r="304">
      <x:c r="C304" s="16" t="e">
        <x:f>VLOOKUP(Tabla2[[#This Row],[CODIGO]],Taller2585[[Código]:[Descripción ]],2,0)</x:f>
        <x:v>#N/A</x:v>
      </x:c>
      <x:c r="D304" s="16" t="e">
        <x:f>VLOOKUP(Tabla2[[#This Row],[CODIGO]],Taller2585[[Código]:[Referencia]],3,0)</x:f>
        <x:v>#N/A</x:v>
      </x:c>
    </x:row>
    <x:row r="305">
      <x:c r="C305" s="16" t="e">
        <x:f>VLOOKUP(Tabla2[[#This Row],[CODIGO]],Taller2585[[Código]:[Descripción ]],2,0)</x:f>
        <x:v>#N/A</x:v>
      </x:c>
      <x:c r="D305" s="16" t="e">
        <x:f>VLOOKUP(Tabla2[[#This Row],[CODIGO]],Taller2585[[Código]:[Referencia]],3,0)</x:f>
        <x:v>#N/A</x:v>
      </x:c>
    </x:row>
    <x:row r="306">
      <x:c r="C306" s="16" t="e">
        <x:f>VLOOKUP(Tabla2[[#This Row],[CODIGO]],Taller2585[[Código]:[Descripción ]],2,0)</x:f>
        <x:v>#N/A</x:v>
      </x:c>
      <x:c r="D306" s="16" t="e">
        <x:f>VLOOKUP(Tabla2[[#This Row],[CODIGO]],Taller2585[[Código]:[Referencia]],3,0)</x:f>
        <x:v>#N/A</x:v>
      </x:c>
    </x:row>
    <x:row r="307">
      <x:c r="C307" s="16" t="e">
        <x:f>VLOOKUP(Tabla2[[#This Row],[CODIGO]],Taller2585[[Código]:[Descripción ]],2,0)</x:f>
        <x:v>#N/A</x:v>
      </x:c>
      <x:c r="D307" s="16" t="e">
        <x:f>VLOOKUP(Tabla2[[#This Row],[CODIGO]],Taller2585[[Código]:[Referencia]],3,0)</x:f>
        <x:v>#N/A</x:v>
      </x:c>
    </x:row>
    <x:row r="308">
      <x:c r="C308" s="16" t="e">
        <x:f>VLOOKUP(Tabla2[[#This Row],[CODIGO]],Taller2585[[Código]:[Descripción ]],2,0)</x:f>
        <x:v>#N/A</x:v>
      </x:c>
      <x:c r="D308" s="16" t="e">
        <x:f>VLOOKUP(Tabla2[[#This Row],[CODIGO]],Taller2585[[Código]:[Referencia]],3,0)</x:f>
        <x:v>#N/A</x:v>
      </x:c>
    </x:row>
    <x:row r="309">
      <x:c r="C309" s="16" t="e">
        <x:f>VLOOKUP(Tabla2[[#This Row],[CODIGO]],Taller2585[[Código]:[Descripción ]],2,0)</x:f>
        <x:v>#N/A</x:v>
      </x:c>
      <x:c r="D309" s="16" t="e">
        <x:f>VLOOKUP(Tabla2[[#This Row],[CODIGO]],Taller2585[[Código]:[Referencia]],3,0)</x:f>
        <x:v>#N/A</x:v>
      </x:c>
    </x:row>
    <x:row r="310">
      <x:c r="C310" s="16" t="e">
        <x:f>VLOOKUP(Tabla2[[#This Row],[CODIGO]],Taller2585[[Código]:[Descripción ]],2,0)</x:f>
        <x:v>#N/A</x:v>
      </x:c>
      <x:c r="D310" s="16" t="e">
        <x:f>VLOOKUP(Tabla2[[#This Row],[CODIGO]],Taller2585[[Código]:[Referencia]],3,0)</x:f>
        <x:v>#N/A</x:v>
      </x:c>
    </x:row>
    <x:row r="311">
      <x:c r="C311" s="16" t="e">
        <x:f>VLOOKUP(Tabla2[[#This Row],[CODIGO]],Taller2585[[Código]:[Descripción ]],2,0)</x:f>
        <x:v>#N/A</x:v>
      </x:c>
      <x:c r="D311" s="16" t="e">
        <x:f>VLOOKUP(Tabla2[[#This Row],[CODIGO]],Taller2585[[Código]:[Referencia]],3,0)</x:f>
        <x:v>#N/A</x:v>
      </x:c>
    </x:row>
    <x:row r="312">
      <x:c r="C312" s="16" t="e">
        <x:f>VLOOKUP(Tabla2[[#This Row],[CODIGO]],Taller2585[[Código]:[Descripción ]],2,0)</x:f>
        <x:v>#N/A</x:v>
      </x:c>
      <x:c r="D312" s="16" t="e">
        <x:f>VLOOKUP(Tabla2[[#This Row],[CODIGO]],Taller2585[[Código]:[Referencia]],3,0)</x:f>
        <x:v>#N/A</x:v>
      </x:c>
    </x:row>
    <x:row r="313">
      <x:c r="C313" s="16" t="e">
        <x:f>VLOOKUP(Tabla2[[#This Row],[CODIGO]],Taller2585[[Código]:[Descripción ]],2,0)</x:f>
        <x:v>#N/A</x:v>
      </x:c>
      <x:c r="D313" s="16" t="e">
        <x:f>VLOOKUP(Tabla2[[#This Row],[CODIGO]],Taller2585[[Código]:[Referencia]],3,0)</x:f>
        <x:v>#N/A</x:v>
      </x:c>
    </x:row>
    <x:row r="314">
      <x:c r="C314" s="16" t="e">
        <x:f>VLOOKUP(Tabla2[[#This Row],[CODIGO]],Taller2585[[Código]:[Descripción ]],2,0)</x:f>
        <x:v>#N/A</x:v>
      </x:c>
      <x:c r="D314" s="16" t="e">
        <x:f>VLOOKUP(Tabla2[[#This Row],[CODIGO]],Taller2585[[Código]:[Referencia]],3,0)</x:f>
        <x:v>#N/A</x:v>
      </x:c>
    </x:row>
    <x:row r="315">
      <x:c r="C315" s="16" t="e">
        <x:f>VLOOKUP(Tabla2[[#This Row],[CODIGO]],Taller2585[[Código]:[Descripción ]],2,0)</x:f>
        <x:v>#N/A</x:v>
      </x:c>
      <x:c r="D315" s="16" t="e">
        <x:f>VLOOKUP(Tabla2[[#This Row],[CODIGO]],Taller2585[[Código]:[Referencia]],3,0)</x:f>
        <x:v>#N/A</x:v>
      </x:c>
    </x:row>
    <x:row r="316">
      <x:c r="C316" s="16" t="e">
        <x:f>VLOOKUP(Tabla2[[#This Row],[CODIGO]],Taller2585[[Código]:[Descripción ]],2,0)</x:f>
        <x:v>#N/A</x:v>
      </x:c>
      <x:c r="D316" s="16" t="e">
        <x:f>VLOOKUP(Tabla2[[#This Row],[CODIGO]],Taller2585[[Código]:[Referencia]],3,0)</x:f>
        <x:v>#N/A</x:v>
      </x:c>
    </x:row>
    <x:row r="317">
      <x:c r="C317" s="16" t="e">
        <x:f>VLOOKUP(Tabla2[[#This Row],[CODIGO]],Taller2585[[Código]:[Descripción ]],2,0)</x:f>
        <x:v>#N/A</x:v>
      </x:c>
      <x:c r="D317" s="16" t="e">
        <x:f>VLOOKUP(Tabla2[[#This Row],[CODIGO]],Taller2585[[Código]:[Referencia]],3,0)</x:f>
        <x:v>#N/A</x:v>
      </x:c>
    </x:row>
    <x:row r="318">
      <x:c r="C318" s="16" t="e">
        <x:f>VLOOKUP(Tabla2[[#This Row],[CODIGO]],Taller2585[[Código]:[Descripción ]],2,0)</x:f>
        <x:v>#N/A</x:v>
      </x:c>
      <x:c r="D318" s="16" t="e">
        <x:f>VLOOKUP(Tabla2[[#This Row],[CODIGO]],Taller2585[[Código]:[Referencia]],3,0)</x:f>
        <x:v>#N/A</x:v>
      </x:c>
    </x:row>
    <x:row r="319">
      <x:c r="C319" s="16" t="e">
        <x:f>VLOOKUP(Tabla2[[#This Row],[CODIGO]],Taller2585[[Código]:[Descripción ]],2,0)</x:f>
        <x:v>#N/A</x:v>
      </x:c>
      <x:c r="D319" s="16" t="e">
        <x:f>VLOOKUP(Tabla2[[#This Row],[CODIGO]],Taller2585[[Código]:[Referencia]],3,0)</x:f>
        <x:v>#N/A</x:v>
      </x:c>
    </x:row>
    <x:row r="320">
      <x:c r="C320" s="16" t="e">
        <x:f>VLOOKUP(Tabla2[[#This Row],[CODIGO]],Taller2585[[Código]:[Descripción ]],2,0)</x:f>
        <x:v>#N/A</x:v>
      </x:c>
      <x:c r="D320" s="16" t="e">
        <x:f>VLOOKUP(Tabla2[[#This Row],[CODIGO]],Taller2585[[Código]:[Referencia]],3,0)</x:f>
        <x:v>#N/A</x:v>
      </x:c>
    </x:row>
    <x:row r="321">
      <x:c r="C321" s="16" t="e">
        <x:f>VLOOKUP(Tabla2[[#This Row],[CODIGO]],Taller2585[[Código]:[Descripción ]],2,0)</x:f>
        <x:v>#N/A</x:v>
      </x:c>
      <x:c r="D321" s="16" t="e">
        <x:f>VLOOKUP(Tabla2[[#This Row],[CODIGO]],Taller2585[[Código]:[Referencia]],3,0)</x:f>
        <x:v>#N/A</x:v>
      </x:c>
    </x:row>
    <x:row r="322">
      <x:c r="C322" s="16" t="e">
        <x:f>VLOOKUP(Tabla2[[#This Row],[CODIGO]],Taller2585[[Código]:[Descripción ]],2,0)</x:f>
        <x:v>#N/A</x:v>
      </x:c>
      <x:c r="D322" s="16" t="e">
        <x:f>VLOOKUP(Tabla2[[#This Row],[CODIGO]],Taller2585[[Código]:[Referencia]],3,0)</x:f>
        <x:v>#N/A</x:v>
      </x:c>
    </x:row>
    <x:row r="323">
      <x:c r="C323" s="16" t="e">
        <x:f>VLOOKUP(Tabla2[[#This Row],[CODIGO]],Taller2585[[Código]:[Descripción ]],2,0)</x:f>
        <x:v>#N/A</x:v>
      </x:c>
      <x:c r="D323" s="16" t="e">
        <x:f>VLOOKUP(Tabla2[[#This Row],[CODIGO]],Taller2585[[Código]:[Referencia]],3,0)</x:f>
        <x:v>#N/A</x:v>
      </x:c>
    </x:row>
    <x:row r="324">
      <x:c r="C324" s="16" t="e">
        <x:f>VLOOKUP(Tabla2[[#This Row],[CODIGO]],Taller2585[[Código]:[Descripción ]],2,0)</x:f>
        <x:v>#N/A</x:v>
      </x:c>
      <x:c r="D324" s="16" t="e">
        <x:f>VLOOKUP(Tabla2[[#This Row],[CODIGO]],Taller2585[[Código]:[Referencia]],3,0)</x:f>
        <x:v>#N/A</x:v>
      </x:c>
    </x:row>
    <x:row r="325">
      <x:c r="C325" s="16" t="e">
        <x:f>VLOOKUP(Tabla2[[#This Row],[CODIGO]],Taller2585[[Código]:[Descripción ]],2,0)</x:f>
        <x:v>#N/A</x:v>
      </x:c>
      <x:c r="D325" s="16" t="e">
        <x:f>VLOOKUP(Tabla2[[#This Row],[CODIGO]],Taller2585[[Código]:[Referencia]],3,0)</x:f>
        <x:v>#N/A</x:v>
      </x:c>
    </x:row>
    <x:row r="326">
      <x:c r="C326" s="16" t="e">
        <x:f>VLOOKUP(Tabla2[[#This Row],[CODIGO]],Taller2585[[Código]:[Descripción ]],2,0)</x:f>
        <x:v>#N/A</x:v>
      </x:c>
      <x:c r="D326" s="16" t="e">
        <x:f>VLOOKUP(Tabla2[[#This Row],[CODIGO]],Taller2585[[Código]:[Referencia]],3,0)</x:f>
        <x:v>#N/A</x:v>
      </x:c>
    </x:row>
    <x:row r="327">
      <x:c r="C327" s="16" t="e">
        <x:f>VLOOKUP(Tabla2[[#This Row],[CODIGO]],Taller2585[[Código]:[Descripción ]],2,0)</x:f>
        <x:v>#N/A</x:v>
      </x:c>
      <x:c r="D327" s="16" t="e">
        <x:f>VLOOKUP(Tabla2[[#This Row],[CODIGO]],Taller2585[[Código]:[Referencia]],3,0)</x:f>
        <x:v>#N/A</x:v>
      </x:c>
    </x:row>
    <x:row r="328">
      <x:c r="C328" s="16" t="e">
        <x:f>VLOOKUP(Tabla2[[#This Row],[CODIGO]],Taller2585[[Código]:[Descripción ]],2,0)</x:f>
        <x:v>#N/A</x:v>
      </x:c>
      <x:c r="D328" s="16" t="e">
        <x:f>VLOOKUP(Tabla2[[#This Row],[CODIGO]],Taller2585[[Código]:[Referencia]],3,0)</x:f>
        <x:v>#N/A</x:v>
      </x:c>
    </x:row>
    <x:row r="329">
      <x:c r="C329" s="16" t="e">
        <x:f>VLOOKUP(Tabla2[[#This Row],[CODIGO]],Taller2585[[Código]:[Descripción ]],2,0)</x:f>
        <x:v>#N/A</x:v>
      </x:c>
      <x:c r="D329" s="16" t="e">
        <x:f>VLOOKUP(Tabla2[[#This Row],[CODIGO]],Taller2585[[Código]:[Referencia]],3,0)</x:f>
        <x:v>#N/A</x:v>
      </x:c>
    </x:row>
    <x:row r="330">
      <x:c r="C330" s="16" t="e">
        <x:f>VLOOKUP(Tabla2[[#This Row],[CODIGO]],Taller2585[[Código]:[Descripción ]],2,0)</x:f>
        <x:v>#N/A</x:v>
      </x:c>
      <x:c r="D330" s="16" t="e">
        <x:f>VLOOKUP(Tabla2[[#This Row],[CODIGO]],Taller2585[[Código]:[Referencia]],3,0)</x:f>
        <x:v>#N/A</x:v>
      </x:c>
    </x:row>
    <x:row r="331">
      <x:c r="C331" s="16" t="e">
        <x:f>VLOOKUP(Tabla2[[#This Row],[CODIGO]],Taller2585[[Código]:[Descripción ]],2,0)</x:f>
        <x:v>#N/A</x:v>
      </x:c>
      <x:c r="D331" s="16" t="e">
        <x:f>VLOOKUP(Tabla2[[#This Row],[CODIGO]],Taller2585[[Código]:[Referencia]],3,0)</x:f>
        <x:v>#N/A</x:v>
      </x:c>
    </x:row>
    <x:row r="332">
      <x:c r="C332" s="16" t="e">
        <x:f>VLOOKUP(Tabla2[[#This Row],[CODIGO]],Taller2585[[Código]:[Descripción ]],2,0)</x:f>
        <x:v>#N/A</x:v>
      </x:c>
      <x:c r="D332" s="16" t="e">
        <x:f>VLOOKUP(Tabla2[[#This Row],[CODIGO]],Taller2585[[Código]:[Referencia]],3,0)</x:f>
        <x:v>#N/A</x:v>
      </x:c>
    </x:row>
    <x:row r="333">
      <x:c r="C333" s="16" t="e">
        <x:f>VLOOKUP(Tabla2[[#This Row],[CODIGO]],Taller2585[[Código]:[Descripción ]],2,0)</x:f>
        <x:v>#N/A</x:v>
      </x:c>
      <x:c r="D333" s="16" t="e">
        <x:f>VLOOKUP(Tabla2[[#This Row],[CODIGO]],Taller2585[[Código]:[Referencia]],3,0)</x:f>
        <x:v>#N/A</x:v>
      </x:c>
    </x:row>
    <x:row r="334">
      <x:c r="C334" s="16" t="e">
        <x:f>VLOOKUP(Tabla2[[#This Row],[CODIGO]],Taller2585[[Código]:[Descripción ]],2,0)</x:f>
        <x:v>#N/A</x:v>
      </x:c>
      <x:c r="D334" s="16" t="e">
        <x:f>VLOOKUP(Tabla2[[#This Row],[CODIGO]],Taller2585[[Código]:[Referencia]],3,0)</x:f>
        <x:v>#N/A</x:v>
      </x:c>
    </x:row>
    <x:row r="335">
      <x:c r="C335" s="16" t="e">
        <x:f>VLOOKUP(Tabla2[[#This Row],[CODIGO]],Taller2585[[Código]:[Descripción ]],2,0)</x:f>
        <x:v>#N/A</x:v>
      </x:c>
      <x:c r="D335" s="16" t="e">
        <x:f>VLOOKUP(Tabla2[[#This Row],[CODIGO]],Taller2585[[Código]:[Referencia]],3,0)</x:f>
        <x:v>#N/A</x:v>
      </x:c>
    </x:row>
    <x:row r="336">
      <x:c r="C336" s="16" t="e">
        <x:f>VLOOKUP(Tabla2[[#This Row],[CODIGO]],Taller2585[[Código]:[Descripción ]],2,0)</x:f>
        <x:v>#N/A</x:v>
      </x:c>
      <x:c r="D336" s="16" t="e">
        <x:f>VLOOKUP(Tabla2[[#This Row],[CODIGO]],Taller2585[[Código]:[Referencia]],3,0)</x:f>
        <x:v>#N/A</x:v>
      </x:c>
    </x:row>
    <x:row r="337">
      <x:c r="C337" s="16" t="e">
        <x:f>VLOOKUP(Tabla2[[#This Row],[CODIGO]],Taller2585[[Código]:[Descripción ]],2,0)</x:f>
        <x:v>#N/A</x:v>
      </x:c>
      <x:c r="D337" s="16" t="e">
        <x:f>VLOOKUP(Tabla2[[#This Row],[CODIGO]],Taller2585[[Código]:[Referencia]],3,0)</x:f>
        <x:v>#N/A</x:v>
      </x:c>
    </x:row>
    <x:row r="338">
      <x:c r="C338" s="16" t="e">
        <x:f>VLOOKUP(Tabla2[[#This Row],[CODIGO]],Taller2585[[Código]:[Descripción ]],2,0)</x:f>
        <x:v>#N/A</x:v>
      </x:c>
      <x:c r="D338" s="16" t="e">
        <x:f>VLOOKUP(Tabla2[[#This Row],[CODIGO]],Taller2585[[Código]:[Referencia]],3,0)</x:f>
        <x:v>#N/A</x:v>
      </x:c>
    </x:row>
    <x:row r="339">
      <x:c r="C339" s="16" t="e">
        <x:f>VLOOKUP(Tabla2[[#This Row],[CODIGO]],Taller2585[[Código]:[Descripción ]],2,0)</x:f>
        <x:v>#N/A</x:v>
      </x:c>
      <x:c r="D339" s="16" t="e">
        <x:f>VLOOKUP(Tabla2[[#This Row],[CODIGO]],Taller2585[[Código]:[Referencia]],3,0)</x:f>
        <x:v>#N/A</x:v>
      </x:c>
    </x:row>
    <x:row r="340">
      <x:c r="C340" s="16" t="e">
        <x:f>VLOOKUP(Tabla2[[#This Row],[CODIGO]],Taller2585[[Código]:[Descripción ]],2,0)</x:f>
        <x:v>#N/A</x:v>
      </x:c>
      <x:c r="D340" s="16" t="e">
        <x:f>VLOOKUP(Tabla2[[#This Row],[CODIGO]],Taller2585[[Código]:[Referencia]],3,0)</x:f>
        <x:v>#N/A</x:v>
      </x:c>
    </x:row>
    <x:row r="341">
      <x:c r="C341" s="16" t="e">
        <x:f>VLOOKUP(Tabla2[[#This Row],[CODIGO]],Taller2585[[Código]:[Descripción ]],2,0)</x:f>
        <x:v>#N/A</x:v>
      </x:c>
      <x:c r="D341" s="16" t="e">
        <x:f>VLOOKUP(Tabla2[[#This Row],[CODIGO]],Taller2585[[Código]:[Referencia]],3,0)</x:f>
        <x:v>#N/A</x:v>
      </x:c>
    </x:row>
    <x:row r="342">
      <x:c r="C342" s="16" t="e">
        <x:f>VLOOKUP(Tabla2[[#This Row],[CODIGO]],Taller2585[[Código]:[Descripción ]],2,0)</x:f>
        <x:v>#N/A</x:v>
      </x:c>
      <x:c r="D342" s="16" t="e">
        <x:f>VLOOKUP(Tabla2[[#This Row],[CODIGO]],Taller2585[[Código]:[Referencia]],3,0)</x:f>
        <x:v>#N/A</x:v>
      </x:c>
    </x:row>
    <x:row r="343">
      <x:c r="C343" s="16" t="e">
        <x:f>VLOOKUP(Tabla2[[#This Row],[CODIGO]],Taller2585[[Código]:[Descripción ]],2,0)</x:f>
        <x:v>#N/A</x:v>
      </x:c>
      <x:c r="D343" s="16" t="e">
        <x:f>VLOOKUP(Tabla2[[#This Row],[CODIGO]],Taller2585[[Código]:[Referencia]],3,0)</x:f>
        <x:v>#N/A</x:v>
      </x:c>
    </x:row>
    <x:row r="344">
      <x:c r="C344" s="16" t="e">
        <x:f>VLOOKUP(Tabla2[[#This Row],[CODIGO]],Taller2585[[Código]:[Descripción ]],2,0)</x:f>
        <x:v>#N/A</x:v>
      </x:c>
      <x:c r="D344" s="16" t="e">
        <x:f>VLOOKUP(Tabla2[[#This Row],[CODIGO]],Taller2585[[Código]:[Referencia]],3,0)</x:f>
        <x:v>#N/A</x:v>
      </x:c>
    </x:row>
    <x:row r="345">
      <x:c r="C345" s="16" t="e">
        <x:f>VLOOKUP(Tabla2[[#This Row],[CODIGO]],Taller2585[[Código]:[Descripción ]],2,0)</x:f>
        <x:v>#N/A</x:v>
      </x:c>
      <x:c r="D345" s="16" t="e">
        <x:f>VLOOKUP(Tabla2[[#This Row],[CODIGO]],Taller2585[[Código]:[Referencia]],3,0)</x:f>
        <x:v>#N/A</x:v>
      </x:c>
    </x:row>
    <x:row r="346">
      <x:c r="C346" s="16" t="e">
        <x:f>VLOOKUP(Tabla2[[#This Row],[CODIGO]],Taller2585[[Código]:[Descripción ]],2,0)</x:f>
        <x:v>#N/A</x:v>
      </x:c>
      <x:c r="D346" s="16" t="e">
        <x:f>VLOOKUP(Tabla2[[#This Row],[CODIGO]],Taller2585[[Código]:[Referencia]],3,0)</x:f>
        <x:v>#N/A</x:v>
      </x:c>
    </x:row>
    <x:row r="347">
      <x:c r="C347" s="16" t="e">
        <x:f>VLOOKUP(Tabla2[[#This Row],[CODIGO]],Taller2585[[Código]:[Descripción ]],2,0)</x:f>
        <x:v>#N/A</x:v>
      </x:c>
      <x:c r="D347" s="16" t="e">
        <x:f>VLOOKUP(Tabla2[[#This Row],[CODIGO]],Taller2585[[Código]:[Referencia]],3,0)</x:f>
        <x:v>#N/A</x:v>
      </x:c>
    </x:row>
    <x:row r="348">
      <x:c r="C348" s="16" t="e">
        <x:f>VLOOKUP(Tabla2[[#This Row],[CODIGO]],Taller2585[[Código]:[Descripción ]],2,0)</x:f>
        <x:v>#N/A</x:v>
      </x:c>
      <x:c r="D348" s="16" t="e">
        <x:f>VLOOKUP(Tabla2[[#This Row],[CODIGO]],Taller2585[[Código]:[Referencia]],3,0)</x:f>
        <x:v>#N/A</x:v>
      </x:c>
    </x:row>
    <x:row r="349">
      <x:c r="C349" s="16" t="e">
        <x:f>VLOOKUP(Tabla2[[#This Row],[CODIGO]],Taller2585[[Código]:[Descripción ]],2,0)</x:f>
        <x:v>#N/A</x:v>
      </x:c>
      <x:c r="D349" s="16" t="e">
        <x:f>VLOOKUP(Tabla2[[#This Row],[CODIGO]],Taller2585[[Código]:[Referencia]],3,0)</x:f>
        <x:v>#N/A</x:v>
      </x:c>
    </x:row>
    <x:row r="350">
      <x:c r="C350" s="16" t="e">
        <x:f>VLOOKUP(Tabla2[[#This Row],[CODIGO]],Taller2585[[Código]:[Descripción ]],2,0)</x:f>
        <x:v>#N/A</x:v>
      </x:c>
      <x:c r="D350" s="16" t="e">
        <x:f>VLOOKUP(Tabla2[[#This Row],[CODIGO]],Taller2585[[Código]:[Referencia]],3,0)</x:f>
        <x:v>#N/A</x:v>
      </x:c>
    </x:row>
    <x:row r="351">
      <x:c r="C351" s="16" t="e">
        <x:f>VLOOKUP(Tabla2[[#This Row],[CODIGO]],Taller2585[[Código]:[Descripción ]],2,0)</x:f>
        <x:v>#N/A</x:v>
      </x:c>
      <x:c r="D351" s="16" t="e">
        <x:f>VLOOKUP(Tabla2[[#This Row],[CODIGO]],Taller2585[[Código]:[Referencia]],3,0)</x:f>
        <x:v>#N/A</x:v>
      </x:c>
    </x:row>
    <x:row r="352">
      <x:c r="C352" s="16" t="e">
        <x:f>VLOOKUP(Tabla2[[#This Row],[CODIGO]],Taller2585[[Código]:[Descripción ]],2,0)</x:f>
        <x:v>#N/A</x:v>
      </x:c>
      <x:c r="D352" s="16" t="e">
        <x:f>VLOOKUP(Tabla2[[#This Row],[CODIGO]],Taller2585[[Código]:[Referencia]],3,0)</x:f>
        <x:v>#N/A</x:v>
      </x:c>
    </x:row>
    <x:row r="353">
      <x:c r="C353" s="16" t="e">
        <x:f>VLOOKUP(Tabla2[[#This Row],[CODIGO]],Taller2585[[Código]:[Descripción ]],2,0)</x:f>
        <x:v>#N/A</x:v>
      </x:c>
      <x:c r="D353" s="16" t="e">
        <x:f>VLOOKUP(Tabla2[[#This Row],[CODIGO]],Taller2585[[Código]:[Referencia]],3,0)</x:f>
        <x:v>#N/A</x:v>
      </x:c>
    </x:row>
    <x:row r="354">
      <x:c r="C354" s="16" t="e">
        <x:f>VLOOKUP(Tabla2[[#This Row],[CODIGO]],Taller2585[[Código]:[Descripción ]],2,0)</x:f>
        <x:v>#N/A</x:v>
      </x:c>
      <x:c r="D354" s="16" t="e">
        <x:f>VLOOKUP(Tabla2[[#This Row],[CODIGO]],Taller2585[[Código]:[Referencia]],3,0)</x:f>
        <x:v>#N/A</x:v>
      </x:c>
    </x:row>
    <x:row r="355">
      <x:c r="C355" s="16" t="e">
        <x:f>VLOOKUP(Tabla2[[#This Row],[CODIGO]],Taller2585[[Código]:[Descripción ]],2,0)</x:f>
        <x:v>#N/A</x:v>
      </x:c>
      <x:c r="D355" s="16" t="e">
        <x:f>VLOOKUP(Tabla2[[#This Row],[CODIGO]],Taller2585[[Código]:[Referencia]],3,0)</x:f>
        <x:v>#N/A</x:v>
      </x:c>
    </x:row>
    <x:row r="356">
      <x:c r="C356" s="16" t="e">
        <x:f>VLOOKUP(Tabla2[[#This Row],[CODIGO]],Taller2585[[Código]:[Descripción ]],2,0)</x:f>
        <x:v>#N/A</x:v>
      </x:c>
      <x:c r="D356" s="16" t="e">
        <x:f>VLOOKUP(Tabla2[[#This Row],[CODIGO]],Taller2585[[Código]:[Referencia]],3,0)</x:f>
        <x:v>#N/A</x:v>
      </x:c>
    </x:row>
    <x:row r="357">
      <x:c r="C357" s="16" t="e">
        <x:f>VLOOKUP(Tabla2[[#This Row],[CODIGO]],Taller2585[[Código]:[Descripción ]],2,0)</x:f>
        <x:v>#N/A</x:v>
      </x:c>
      <x:c r="D357" s="16" t="e">
        <x:f>VLOOKUP(Tabla2[[#This Row],[CODIGO]],Taller2585[[Código]:[Referencia]],3,0)</x:f>
        <x:v>#N/A</x:v>
      </x:c>
    </x:row>
    <x:row r="358">
      <x:c r="C358" s="16" t="e">
        <x:f>VLOOKUP(Tabla2[[#This Row],[CODIGO]],Taller2585[[Código]:[Descripción ]],2,0)</x:f>
        <x:v>#N/A</x:v>
      </x:c>
      <x:c r="D358" s="16" t="e">
        <x:f>VLOOKUP(Tabla2[[#This Row],[CODIGO]],Taller2585[[Código]:[Referencia]],3,0)</x:f>
        <x:v>#N/A</x:v>
      </x:c>
    </x:row>
    <x:row r="359">
      <x:c r="C359" s="16" t="e">
        <x:f>VLOOKUP(Tabla2[[#This Row],[CODIGO]],Taller2585[[Código]:[Descripción ]],2,0)</x:f>
        <x:v>#N/A</x:v>
      </x:c>
      <x:c r="D359" s="16" t="e">
        <x:f>VLOOKUP(Tabla2[[#This Row],[CODIGO]],Taller2585[[Código]:[Referencia]],3,0)</x:f>
        <x:v>#N/A</x:v>
      </x:c>
    </x:row>
    <x:row r="360">
      <x:c r="C360" s="16" t="e">
        <x:f>VLOOKUP(Tabla2[[#This Row],[CODIGO]],Taller2585[[Código]:[Descripción ]],2,0)</x:f>
        <x:v>#N/A</x:v>
      </x:c>
      <x:c r="D360" s="16" t="e">
        <x:f>VLOOKUP(Tabla2[[#This Row],[CODIGO]],Taller2585[[Código]:[Referencia]],3,0)</x:f>
        <x:v>#N/A</x:v>
      </x:c>
    </x:row>
    <x:row r="361">
      <x:c r="C361" s="16" t="e">
        <x:f>VLOOKUP(Tabla2[[#This Row],[CODIGO]],Taller2585[[Código]:[Descripción ]],2,0)</x:f>
        <x:v>#N/A</x:v>
      </x:c>
      <x:c r="D361" s="16" t="e">
        <x:f>VLOOKUP(Tabla2[[#This Row],[CODIGO]],Taller2585[[Código]:[Referencia]],3,0)</x:f>
        <x:v>#N/A</x:v>
      </x:c>
    </x:row>
    <x:row r="362">
      <x:c r="C362" s="16" t="e">
        <x:f>VLOOKUP(Tabla2[[#This Row],[CODIGO]],Taller2585[[Código]:[Descripción ]],2,0)</x:f>
        <x:v>#N/A</x:v>
      </x:c>
      <x:c r="D362" s="16" t="e">
        <x:f>VLOOKUP(Tabla2[[#This Row],[CODIGO]],Taller2585[[Código]:[Referencia]],3,0)</x:f>
        <x:v>#N/A</x:v>
      </x:c>
    </x:row>
    <x:row r="363">
      <x:c r="C363" s="16" t="e">
        <x:f>VLOOKUP(Tabla2[[#This Row],[CODIGO]],Taller2585[[Código]:[Descripción ]],2,0)</x:f>
        <x:v>#N/A</x:v>
      </x:c>
      <x:c r="D363" s="16" t="e">
        <x:f>VLOOKUP(Tabla2[[#This Row],[CODIGO]],Taller2585[[Código]:[Referencia]],3,0)</x:f>
        <x:v>#N/A</x:v>
      </x:c>
    </x:row>
    <x:row r="364">
      <x:c r="C364" s="16" t="e">
        <x:f>VLOOKUP(Tabla2[[#This Row],[CODIGO]],Taller2585[[Código]:[Descripción ]],2,0)</x:f>
        <x:v>#N/A</x:v>
      </x:c>
      <x:c r="D364" s="16" t="e">
        <x:f>VLOOKUP(Tabla2[[#This Row],[CODIGO]],Taller2585[[Código]:[Referencia]],3,0)</x:f>
        <x:v>#N/A</x:v>
      </x:c>
    </x:row>
    <x:row r="365">
      <x:c r="C365" s="16" t="e">
        <x:f>VLOOKUP(Tabla2[[#This Row],[CODIGO]],Taller2585[[Código]:[Descripción ]],2,0)</x:f>
        <x:v>#N/A</x:v>
      </x:c>
      <x:c r="D365" s="16" t="e">
        <x:f>VLOOKUP(Tabla2[[#This Row],[CODIGO]],Taller2585[[Código]:[Referencia]],3,0)</x:f>
        <x:v>#N/A</x:v>
      </x:c>
    </x:row>
    <x:row r="366">
      <x:c r="C366" s="16" t="e">
        <x:f>VLOOKUP(Tabla2[[#This Row],[CODIGO]],Taller2585[[Código]:[Descripción ]],2,0)</x:f>
        <x:v>#N/A</x:v>
      </x:c>
      <x:c r="D366" s="16" t="e">
        <x:f>VLOOKUP(Tabla2[[#This Row],[CODIGO]],Taller2585[[Código]:[Referencia]],3,0)</x:f>
        <x:v>#N/A</x:v>
      </x:c>
    </x:row>
    <x:row r="367">
      <x:c r="C367" s="16" t="e">
        <x:f>VLOOKUP(Tabla2[[#This Row],[CODIGO]],Taller2585[[Código]:[Descripción ]],2,0)</x:f>
        <x:v>#N/A</x:v>
      </x:c>
      <x:c r="D367" s="16" t="e">
        <x:f>VLOOKUP(Tabla2[[#This Row],[CODIGO]],Taller2585[[Código]:[Referencia]],3,0)</x:f>
        <x:v>#N/A</x:v>
      </x:c>
    </x:row>
    <x:row r="368">
      <x:c r="C368" s="16" t="e">
        <x:f>VLOOKUP(Tabla2[[#This Row],[CODIGO]],Taller2585[[Código]:[Descripción ]],2,0)</x:f>
        <x:v>#N/A</x:v>
      </x:c>
      <x:c r="D368" s="16" t="e">
        <x:f>VLOOKUP(Tabla2[[#This Row],[CODIGO]],Taller2585[[Código]:[Referencia]],3,0)</x:f>
        <x:v>#N/A</x:v>
      </x:c>
    </x:row>
    <x:row r="369">
      <x:c r="C369" s="16" t="e">
        <x:f>VLOOKUP(Tabla2[[#This Row],[CODIGO]],Taller2585[[Código]:[Descripción ]],2,0)</x:f>
        <x:v>#N/A</x:v>
      </x:c>
      <x:c r="D369" s="16" t="e">
        <x:f>VLOOKUP(Tabla2[[#This Row],[CODIGO]],Taller2585[[Código]:[Referencia]],3,0)</x:f>
        <x:v>#N/A</x:v>
      </x:c>
    </x:row>
    <x:row r="370">
      <x:c r="C370" s="16" t="e">
        <x:f>VLOOKUP(Tabla2[[#This Row],[CODIGO]],Taller2585[[Código]:[Descripción ]],2,0)</x:f>
        <x:v>#N/A</x:v>
      </x:c>
      <x:c r="D370" s="16" t="e">
        <x:f>VLOOKUP(Tabla2[[#This Row],[CODIGO]],Taller2585[[Código]:[Referencia]],3,0)</x:f>
        <x:v>#N/A</x:v>
      </x:c>
    </x:row>
    <x:row r="371">
      <x:c r="C371" s="16" t="e">
        <x:f>VLOOKUP(Tabla2[[#This Row],[CODIGO]],Taller2585[[Código]:[Descripción ]],2,0)</x:f>
        <x:v>#N/A</x:v>
      </x:c>
      <x:c r="D371" s="16" t="e">
        <x:f>VLOOKUP(Tabla2[[#This Row],[CODIGO]],Taller2585[[Código]:[Referencia]],3,0)</x:f>
        <x:v>#N/A</x:v>
      </x:c>
    </x:row>
    <x:row r="372">
      <x:c r="C372" s="16" t="e">
        <x:f>VLOOKUP(Tabla2[[#This Row],[CODIGO]],Taller2585[[Código]:[Descripción ]],2,0)</x:f>
        <x:v>#N/A</x:v>
      </x:c>
      <x:c r="D372" s="16" t="e">
        <x:f>VLOOKUP(Tabla2[[#This Row],[CODIGO]],Taller2585[[Código]:[Referencia]],3,0)</x:f>
        <x:v>#N/A</x:v>
      </x:c>
    </x:row>
    <x:row r="373">
      <x:c r="C373" s="16" t="e">
        <x:f>VLOOKUP(Tabla2[[#This Row],[CODIGO]],Taller2585[[Código]:[Descripción ]],2,0)</x:f>
        <x:v>#N/A</x:v>
      </x:c>
      <x:c r="D373" s="16" t="e">
        <x:f>VLOOKUP(Tabla2[[#This Row],[CODIGO]],Taller2585[[Código]:[Referencia]],3,0)</x:f>
        <x:v>#N/A</x:v>
      </x:c>
    </x:row>
    <x:row r="374">
      <x:c r="C374" s="16" t="e">
        <x:f>VLOOKUP(Tabla2[[#This Row],[CODIGO]],Taller2585[[Código]:[Descripción ]],2,0)</x:f>
        <x:v>#N/A</x:v>
      </x:c>
      <x:c r="D374" s="16" t="e">
        <x:f>VLOOKUP(Tabla2[[#This Row],[CODIGO]],Taller2585[[Código]:[Referencia]],3,0)</x:f>
        <x:v>#N/A</x:v>
      </x:c>
    </x:row>
    <x:row r="375">
      <x:c r="C375" s="16" t="e">
        <x:f>VLOOKUP(Tabla2[[#This Row],[CODIGO]],Taller2585[[Código]:[Descripción ]],2,0)</x:f>
        <x:v>#N/A</x:v>
      </x:c>
      <x:c r="D375" s="16" t="e">
        <x:f>VLOOKUP(Tabla2[[#This Row],[CODIGO]],Taller2585[[Código]:[Referencia]],3,0)</x:f>
        <x:v>#N/A</x:v>
      </x:c>
    </x:row>
    <x:row r="376">
      <x:c r="C376" s="16" t="e">
        <x:f>VLOOKUP(Tabla2[[#This Row],[CODIGO]],Taller2585[[Código]:[Descripción ]],2,0)</x:f>
        <x:v>#N/A</x:v>
      </x:c>
      <x:c r="D376" s="16" t="e">
        <x:f>VLOOKUP(Tabla2[[#This Row],[CODIGO]],Taller2585[[Código]:[Referencia]],3,0)</x:f>
        <x:v>#N/A</x:v>
      </x:c>
    </x:row>
    <x:row r="377">
      <x:c r="C377" s="16" t="e">
        <x:f>VLOOKUP(Tabla2[[#This Row],[CODIGO]],Taller2585[[Código]:[Descripción ]],2,0)</x:f>
        <x:v>#N/A</x:v>
      </x:c>
      <x:c r="D377" s="16" t="e">
        <x:f>VLOOKUP(Tabla2[[#This Row],[CODIGO]],Taller2585[[Código]:[Referencia]],3,0)</x:f>
        <x:v>#N/A</x:v>
      </x:c>
    </x:row>
    <x:row r="378">
      <x:c r="C378" s="16" t="e">
        <x:f>VLOOKUP(Tabla2[[#This Row],[CODIGO]],Taller2585[[Código]:[Descripción ]],2,0)</x:f>
        <x:v>#N/A</x:v>
      </x:c>
      <x:c r="D378" s="16" t="e">
        <x:f>VLOOKUP(Tabla2[[#This Row],[CODIGO]],Taller2585[[Código]:[Referencia]],3,0)</x:f>
        <x:v>#N/A</x:v>
      </x:c>
    </x:row>
    <x:row r="379">
      <x:c r="C379" s="16" t="e">
        <x:f>VLOOKUP(Tabla2[[#This Row],[CODIGO]],Taller2585[[Código]:[Descripción ]],2,0)</x:f>
        <x:v>#N/A</x:v>
      </x:c>
      <x:c r="D379" s="16" t="e">
        <x:f>VLOOKUP(Tabla2[[#This Row],[CODIGO]],Taller2585[[Código]:[Referencia]],3,0)</x:f>
        <x:v>#N/A</x:v>
      </x:c>
    </x:row>
    <x:row r="380">
      <x:c r="C380" s="16" t="e">
        <x:f>VLOOKUP(Tabla2[[#This Row],[CODIGO]],Taller2585[[Código]:[Descripción ]],2,0)</x:f>
        <x:v>#N/A</x:v>
      </x:c>
      <x:c r="D380" s="16" t="e">
        <x:f>VLOOKUP(Tabla2[[#This Row],[CODIGO]],Taller2585[[Código]:[Referencia]],3,0)</x:f>
        <x:v>#N/A</x:v>
      </x:c>
    </x:row>
    <x:row r="381">
      <x:c r="C381" s="16" t="e">
        <x:f>VLOOKUP(Tabla2[[#This Row],[CODIGO]],Taller2585[[Código]:[Descripción ]],2,0)</x:f>
        <x:v>#N/A</x:v>
      </x:c>
      <x:c r="D381" s="16" t="e">
        <x:f>VLOOKUP(Tabla2[[#This Row],[CODIGO]],Taller2585[[Código]:[Referencia]],3,0)</x:f>
        <x:v>#N/A</x:v>
      </x:c>
    </x:row>
    <x:row r="382">
      <x:c r="C382" s="16" t="e">
        <x:f>VLOOKUP(Tabla2[[#This Row],[CODIGO]],Taller2585[[Código]:[Descripción ]],2,0)</x:f>
        <x:v>#N/A</x:v>
      </x:c>
      <x:c r="D382" s="16" t="e">
        <x:f>VLOOKUP(Tabla2[[#This Row],[CODIGO]],Taller2585[[Código]:[Referencia]],3,0)</x:f>
        <x:v>#N/A</x:v>
      </x:c>
    </x:row>
    <x:row r="383">
      <x:c r="C383" s="16" t="e">
        <x:f>VLOOKUP(Tabla2[[#This Row],[CODIGO]],Taller2585[[Código]:[Descripción ]],2,0)</x:f>
        <x:v>#N/A</x:v>
      </x:c>
      <x:c r="D383" s="16" t="e">
        <x:f>VLOOKUP(Tabla2[[#This Row],[CODIGO]],Taller2585[[Código]:[Referencia]],3,0)</x:f>
        <x:v>#N/A</x:v>
      </x:c>
    </x:row>
    <x:row r="384">
      <x:c r="C384" s="16" t="e">
        <x:f>VLOOKUP(Tabla2[[#This Row],[CODIGO]],Taller2585[[Código]:[Descripción ]],2,0)</x:f>
        <x:v>#N/A</x:v>
      </x:c>
      <x:c r="D384" s="16" t="e">
        <x:f>VLOOKUP(Tabla2[[#This Row],[CODIGO]],Taller2585[[Código]:[Referencia]],3,0)</x:f>
        <x:v>#N/A</x:v>
      </x:c>
    </x:row>
    <x:row r="385">
      <x:c r="C385" s="16" t="e">
        <x:f>VLOOKUP(Tabla2[[#This Row],[CODIGO]],Taller2585[[Código]:[Descripción ]],2,0)</x:f>
        <x:v>#N/A</x:v>
      </x:c>
      <x:c r="D385" s="16" t="e">
        <x:f>VLOOKUP(Tabla2[[#This Row],[CODIGO]],Taller2585[[Código]:[Referencia]],3,0)</x:f>
        <x:v>#N/A</x:v>
      </x:c>
    </x:row>
    <x:row r="386">
      <x:c r="C386" s="16" t="e">
        <x:f>VLOOKUP(Tabla2[[#This Row],[CODIGO]],Taller2585[[Código]:[Descripción ]],2,0)</x:f>
        <x:v>#N/A</x:v>
      </x:c>
      <x:c r="D386" s="16" t="e">
        <x:f>VLOOKUP(Tabla2[[#This Row],[CODIGO]],Taller2585[[Código]:[Referencia]],3,0)</x:f>
        <x:v>#N/A</x:v>
      </x:c>
    </x:row>
    <x:row r="387">
      <x:c r="C387" s="16" t="e">
        <x:f>VLOOKUP(Tabla2[[#This Row],[CODIGO]],Taller2585[[Código]:[Descripción ]],2,0)</x:f>
        <x:v>#N/A</x:v>
      </x:c>
      <x:c r="D387" s="16" t="e">
        <x:f>VLOOKUP(Tabla2[[#This Row],[CODIGO]],Taller2585[[Código]:[Referencia]],3,0)</x:f>
        <x:v>#N/A</x:v>
      </x:c>
    </x:row>
    <x:row r="388">
      <x:c r="C388" s="16" t="e">
        <x:f>VLOOKUP(Tabla2[[#This Row],[CODIGO]],Taller2585[[Código]:[Descripción ]],2,0)</x:f>
        <x:v>#N/A</x:v>
      </x:c>
      <x:c r="D388" s="16" t="e">
        <x:f>VLOOKUP(Tabla2[[#This Row],[CODIGO]],Taller2585[[Código]:[Referencia]],3,0)</x:f>
        <x:v>#N/A</x:v>
      </x:c>
    </x:row>
    <x:row r="389">
      <x:c r="C389" s="16" t="e">
        <x:f>VLOOKUP(Tabla2[[#This Row],[CODIGO]],Taller2585[[Código]:[Descripción ]],2,0)</x:f>
        <x:v>#N/A</x:v>
      </x:c>
      <x:c r="D389" s="16" t="e">
        <x:f>VLOOKUP(Tabla2[[#This Row],[CODIGO]],Taller2585[[Código]:[Referencia]],3,0)</x:f>
        <x:v>#N/A</x:v>
      </x:c>
    </x:row>
    <x:row r="390">
      <x:c r="C390" s="16" t="e">
        <x:f>VLOOKUP(Tabla2[[#This Row],[CODIGO]],Taller2585[[Código]:[Descripción ]],2,0)</x:f>
        <x:v>#N/A</x:v>
      </x:c>
      <x:c r="D390" s="16" t="e">
        <x:f>VLOOKUP(Tabla2[[#This Row],[CODIGO]],Taller2585[[Código]:[Referencia]],3,0)</x:f>
        <x:v>#N/A</x:v>
      </x:c>
    </x:row>
    <x:row r="391">
      <x:c r="C391" s="16" t="e">
        <x:f>VLOOKUP(Tabla2[[#This Row],[CODIGO]],Taller2585[[Código]:[Descripción ]],2,0)</x:f>
        <x:v>#N/A</x:v>
      </x:c>
      <x:c r="D391" s="16" t="e">
        <x:f>VLOOKUP(Tabla2[[#This Row],[CODIGO]],Taller2585[[Código]:[Referencia]],3,0)</x:f>
        <x:v>#N/A</x:v>
      </x:c>
    </x:row>
    <x:row r="392">
      <x:c r="C392" s="16" t="e">
        <x:f>VLOOKUP(Tabla2[[#This Row],[CODIGO]],Taller2585[[Código]:[Descripción ]],2,0)</x:f>
        <x:v>#N/A</x:v>
      </x:c>
      <x:c r="D392" s="16" t="e">
        <x:f>VLOOKUP(Tabla2[[#This Row],[CODIGO]],Taller2585[[Código]:[Referencia]],3,0)</x:f>
        <x:v>#N/A</x:v>
      </x:c>
    </x:row>
    <x:row r="393">
      <x:c r="C393" s="16" t="e">
        <x:f>VLOOKUP(Tabla2[[#This Row],[CODIGO]],Taller2585[[Código]:[Descripción ]],2,0)</x:f>
        <x:v>#N/A</x:v>
      </x:c>
      <x:c r="D393" s="16" t="e">
        <x:f>VLOOKUP(Tabla2[[#This Row],[CODIGO]],Taller2585[[Código]:[Referencia]],3,0)</x:f>
        <x:v>#N/A</x:v>
      </x:c>
    </x:row>
    <x:row r="394">
      <x:c r="C394" s="16" t="e">
        <x:f>VLOOKUP(Tabla2[[#This Row],[CODIGO]],Taller2585[[Código]:[Descripción ]],2,0)</x:f>
        <x:v>#N/A</x:v>
      </x:c>
      <x:c r="D394" s="16" t="e">
        <x:f>VLOOKUP(Tabla2[[#This Row],[CODIGO]],Taller2585[[Código]:[Referencia]],3,0)</x:f>
        <x:v>#N/A</x:v>
      </x:c>
    </x:row>
    <x:row r="395">
      <x:c r="C395" s="16" t="e">
        <x:f>VLOOKUP(Tabla2[[#This Row],[CODIGO]],Taller2585[[Código]:[Descripción ]],2,0)</x:f>
        <x:v>#N/A</x:v>
      </x:c>
      <x:c r="D395" s="16" t="e">
        <x:f>VLOOKUP(Tabla2[[#This Row],[CODIGO]],Taller2585[[Código]:[Referencia]],3,0)</x:f>
        <x:v>#N/A</x:v>
      </x:c>
    </x:row>
    <x:row r="396">
      <x:c r="C396" s="16" t="e">
        <x:f>VLOOKUP(Tabla2[[#This Row],[CODIGO]],Taller2585[[Código]:[Descripción ]],2,0)</x:f>
        <x:v>#N/A</x:v>
      </x:c>
      <x:c r="D396" s="16" t="e">
        <x:f>VLOOKUP(Tabla2[[#This Row],[CODIGO]],Taller2585[[Código]:[Referencia]],3,0)</x:f>
        <x:v>#N/A</x:v>
      </x:c>
    </x:row>
    <x:row r="397">
      <x:c r="C397" s="16" t="e">
        <x:f>VLOOKUP(Tabla2[[#This Row],[CODIGO]],Taller2585[[Código]:[Descripción ]],2,0)</x:f>
        <x:v>#N/A</x:v>
      </x:c>
      <x:c r="D397" s="16" t="e">
        <x:f>VLOOKUP(Tabla2[[#This Row],[CODIGO]],Taller2585[[Código]:[Referencia]],3,0)</x:f>
        <x:v>#N/A</x:v>
      </x:c>
    </x:row>
    <x:row r="398">
      <x:c r="C398" s="16" t="e">
        <x:f>VLOOKUP(Tabla2[[#This Row],[CODIGO]],Taller2585[[Código]:[Descripción ]],2,0)</x:f>
        <x:v>#N/A</x:v>
      </x:c>
      <x:c r="D398" s="16" t="e">
        <x:f>VLOOKUP(Tabla2[[#This Row],[CODIGO]],Taller2585[[Código]:[Referencia]],3,0)</x:f>
        <x:v>#N/A</x:v>
      </x:c>
    </x:row>
    <x:row r="399">
      <x:c r="C399" s="16" t="e">
        <x:f>VLOOKUP(Tabla2[[#This Row],[CODIGO]],Taller2585[[Código]:[Descripción ]],2,0)</x:f>
        <x:v>#N/A</x:v>
      </x:c>
      <x:c r="D399" s="16" t="e">
        <x:f>VLOOKUP(Tabla2[[#This Row],[CODIGO]],Taller2585[[Código]:[Referencia]],3,0)</x:f>
        <x:v>#N/A</x:v>
      </x:c>
    </x:row>
    <x:row r="400">
      <x:c r="C400" s="16" t="e">
        <x:f>VLOOKUP(Tabla2[[#This Row],[CODIGO]],Taller2585[[Código]:[Descripción ]],2,0)</x:f>
        <x:v>#N/A</x:v>
      </x:c>
      <x:c r="D400" s="16" t="e">
        <x:f>VLOOKUP(Tabla2[[#This Row],[CODIGO]],Taller2585[[Código]:[Referencia]],3,0)</x:f>
        <x:v>#N/A</x:v>
      </x:c>
    </x:row>
    <x:row r="401">
      <x:c r="C401" s="16" t="e">
        <x:f>VLOOKUP(Tabla2[[#This Row],[CODIGO]],Taller2585[[Código]:[Descripción ]],2,0)</x:f>
        <x:v>#N/A</x:v>
      </x:c>
      <x:c r="D401" s="16" t="e">
        <x:f>VLOOKUP(Tabla2[[#This Row],[CODIGO]],Taller2585[[Código]:[Referencia]],3,0)</x:f>
        <x:v>#N/A</x:v>
      </x:c>
    </x:row>
    <x:row r="402">
      <x:c r="C402" s="16" t="e">
        <x:f>VLOOKUP(Tabla2[[#This Row],[CODIGO]],Taller2585[[Código]:[Descripción ]],2,0)</x:f>
        <x:v>#N/A</x:v>
      </x:c>
      <x:c r="D402" s="16" t="e">
        <x:f>VLOOKUP(Tabla2[[#This Row],[CODIGO]],Taller2585[[Código]:[Referencia]],3,0)</x:f>
        <x:v>#N/A</x:v>
      </x:c>
    </x:row>
    <x:row r="403">
      <x:c r="C403" s="16" t="e">
        <x:f>VLOOKUP(Tabla2[[#This Row],[CODIGO]],Taller2585[[Código]:[Descripción ]],2,0)</x:f>
        <x:v>#N/A</x:v>
      </x:c>
      <x:c r="D403" s="16" t="e">
        <x:f>VLOOKUP(Tabla2[[#This Row],[CODIGO]],Taller2585[[Código]:[Referencia]],3,0)</x:f>
        <x:v>#N/A</x:v>
      </x:c>
    </x:row>
    <x:row r="404">
      <x:c r="C404" s="16" t="e">
        <x:f>VLOOKUP(Tabla2[[#This Row],[CODIGO]],Taller2585[[Código]:[Descripción ]],2,0)</x:f>
        <x:v>#N/A</x:v>
      </x:c>
      <x:c r="D404" s="16" t="e">
        <x:f>VLOOKUP(Tabla2[[#This Row],[CODIGO]],Taller2585[[Código]:[Referencia]],3,0)</x:f>
        <x:v>#N/A</x:v>
      </x:c>
    </x:row>
    <x:row r="405">
      <x:c r="C405" s="16" t="e">
        <x:f>VLOOKUP(Tabla2[[#This Row],[CODIGO]],Taller2585[[Código]:[Descripción ]],2,0)</x:f>
        <x:v>#N/A</x:v>
      </x:c>
      <x:c r="D405" s="16" t="e">
        <x:f>VLOOKUP(Tabla2[[#This Row],[CODIGO]],Taller2585[[Código]:[Referencia]],3,0)</x:f>
        <x:v>#N/A</x:v>
      </x:c>
    </x:row>
    <x:row r="406">
      <x:c r="C406" s="16" t="e">
        <x:f>VLOOKUP(Tabla2[[#This Row],[CODIGO]],Taller2585[[Código]:[Descripción ]],2,0)</x:f>
        <x:v>#N/A</x:v>
      </x:c>
      <x:c r="D406" s="16" t="e">
        <x:f>VLOOKUP(Tabla2[[#This Row],[CODIGO]],Taller2585[[Código]:[Referencia]],3,0)</x:f>
        <x:v>#N/A</x:v>
      </x:c>
    </x:row>
    <x:row r="407">
      <x:c r="C407" s="16" t="e">
        <x:f>VLOOKUP(Tabla2[[#This Row],[CODIGO]],Taller2585[[Código]:[Descripción ]],2,0)</x:f>
        <x:v>#N/A</x:v>
      </x:c>
      <x:c r="D407" s="16" t="e">
        <x:f>VLOOKUP(Tabla2[[#This Row],[CODIGO]],Taller2585[[Código]:[Referencia]],3,0)</x:f>
        <x:v>#N/A</x:v>
      </x:c>
    </x:row>
    <x:row r="408">
      <x:c r="C408" s="16" t="e">
        <x:f>VLOOKUP(Tabla2[[#This Row],[CODIGO]],Taller2585[[Código]:[Descripción ]],2,0)</x:f>
        <x:v>#N/A</x:v>
      </x:c>
      <x:c r="D408" s="16" t="e">
        <x:f>VLOOKUP(Tabla2[[#This Row],[CODIGO]],Taller2585[[Código]:[Referencia]],3,0)</x:f>
        <x:v>#N/A</x:v>
      </x:c>
    </x:row>
    <x:row r="409">
      <x:c r="C409" s="16" t="e">
        <x:f>VLOOKUP(Tabla2[[#This Row],[CODIGO]],Taller2585[[Código]:[Descripción ]],2,0)</x:f>
        <x:v>#N/A</x:v>
      </x:c>
      <x:c r="D409" s="16" t="e">
        <x:f>VLOOKUP(Tabla2[[#This Row],[CODIGO]],Taller2585[[Código]:[Referencia]],3,0)</x:f>
        <x:v>#N/A</x:v>
      </x:c>
    </x:row>
    <x:row r="410">
      <x:c r="C410" s="16" t="e">
        <x:f>VLOOKUP(Tabla2[[#This Row],[CODIGO]],Taller2585[[Código]:[Descripción ]],2,0)</x:f>
        <x:v>#N/A</x:v>
      </x:c>
      <x:c r="D410" s="16" t="e">
        <x:f>VLOOKUP(Tabla2[[#This Row],[CODIGO]],Taller2585[[Código]:[Referencia]],3,0)</x:f>
        <x:v>#N/A</x:v>
      </x:c>
    </x:row>
    <x:row r="411">
      <x:c r="C411" s="16" t="e">
        <x:f>VLOOKUP(Tabla2[[#This Row],[CODIGO]],Taller2585[[Código]:[Descripción ]],2,0)</x:f>
        <x:v>#N/A</x:v>
      </x:c>
      <x:c r="D411" s="16" t="e">
        <x:f>VLOOKUP(Tabla2[[#This Row],[CODIGO]],Taller2585[[Código]:[Referencia]],3,0)</x:f>
        <x:v>#N/A</x:v>
      </x:c>
    </x:row>
    <x:row r="412">
      <x:c r="C412" s="16" t="e">
        <x:f>VLOOKUP(Tabla2[[#This Row],[CODIGO]],Taller2585[[Código]:[Descripción ]],2,0)</x:f>
        <x:v>#N/A</x:v>
      </x:c>
      <x:c r="D412" s="16" t="e">
        <x:f>VLOOKUP(Tabla2[[#This Row],[CODIGO]],Taller2585[[Código]:[Referencia]],3,0)</x:f>
        <x:v>#N/A</x:v>
      </x:c>
    </x:row>
    <x:row r="413">
      <x:c r="C413" s="16" t="e">
        <x:f>VLOOKUP(Tabla2[[#This Row],[CODIGO]],Taller2585[[Código]:[Descripción ]],2,0)</x:f>
        <x:v>#N/A</x:v>
      </x:c>
      <x:c r="D413" s="16" t="e">
        <x:f>VLOOKUP(Tabla2[[#This Row],[CODIGO]],Taller2585[[Código]:[Referencia]],3,0)</x:f>
        <x:v>#N/A</x:v>
      </x:c>
    </x:row>
    <x:row r="414">
      <x:c r="C414" s="16" t="e">
        <x:f>VLOOKUP(Tabla2[[#This Row],[CODIGO]],Taller2585[[Código]:[Descripción ]],2,0)</x:f>
        <x:v>#N/A</x:v>
      </x:c>
      <x:c r="D414" s="16" t="e">
        <x:f>VLOOKUP(Tabla2[[#This Row],[CODIGO]],Taller2585[[Código]:[Referencia]],3,0)</x:f>
        <x:v>#N/A</x:v>
      </x:c>
    </x:row>
    <x:row r="415">
      <x:c r="C415" s="16" t="e">
        <x:f>VLOOKUP(Tabla2[[#This Row],[CODIGO]],Taller2585[[Código]:[Descripción ]],2,0)</x:f>
        <x:v>#N/A</x:v>
      </x:c>
      <x:c r="D415" s="16" t="e">
        <x:f>VLOOKUP(Tabla2[[#This Row],[CODIGO]],Taller2585[[Código]:[Referencia]],3,0)</x:f>
        <x:v>#N/A</x:v>
      </x:c>
    </x:row>
    <x:row r="416">
      <x:c r="C416" s="16" t="e">
        <x:f>VLOOKUP(Tabla2[[#This Row],[CODIGO]],Taller2585[[Código]:[Descripción ]],2,0)</x:f>
        <x:v>#N/A</x:v>
      </x:c>
      <x:c r="D416" s="16" t="e">
        <x:f>VLOOKUP(Tabla2[[#This Row],[CODIGO]],Taller2585[[Código]:[Referencia]],3,0)</x:f>
        <x:v>#N/A</x:v>
      </x:c>
    </x:row>
    <x:row r="417">
      <x:c r="C417" s="16" t="e">
        <x:f>VLOOKUP(Tabla2[[#This Row],[CODIGO]],Taller2585[[Código]:[Descripción ]],2,0)</x:f>
        <x:v>#N/A</x:v>
      </x:c>
      <x:c r="D417" s="16" t="e">
        <x:f>VLOOKUP(Tabla2[[#This Row],[CODIGO]],Taller2585[[Código]:[Referencia]],3,0)</x:f>
        <x:v>#N/A</x:v>
      </x:c>
    </x:row>
    <x:row r="418">
      <x:c r="C418" s="16" t="e">
        <x:f>VLOOKUP(Tabla2[[#This Row],[CODIGO]],Taller2585[[Código]:[Descripción ]],2,0)</x:f>
        <x:v>#N/A</x:v>
      </x:c>
      <x:c r="D418" s="16" t="e">
        <x:f>VLOOKUP(Tabla2[[#This Row],[CODIGO]],Taller2585[[Código]:[Referencia]],3,0)</x:f>
        <x:v>#N/A</x:v>
      </x:c>
    </x:row>
    <x:row r="419">
      <x:c r="C419" s="16" t="e">
        <x:f>VLOOKUP(Tabla2[[#This Row],[CODIGO]],Taller2585[[Código]:[Descripción ]],2,0)</x:f>
        <x:v>#N/A</x:v>
      </x:c>
      <x:c r="D419" s="16" t="e">
        <x:f>VLOOKUP(Tabla2[[#This Row],[CODIGO]],Taller2585[[Código]:[Referencia]],3,0)</x:f>
        <x:v>#N/A</x:v>
      </x:c>
    </x:row>
    <x:row r="420">
      <x:c r="C420" s="16" t="e">
        <x:f>VLOOKUP(Tabla2[[#This Row],[CODIGO]],Taller2585[[Código]:[Descripción ]],2,0)</x:f>
        <x:v>#N/A</x:v>
      </x:c>
      <x:c r="D420" s="16" t="e">
        <x:f>VLOOKUP(Tabla2[[#This Row],[CODIGO]],Taller2585[[Código]:[Referencia]],3,0)</x:f>
        <x:v>#N/A</x:v>
      </x:c>
    </x:row>
    <x:row r="421">
      <x:c r="C421" s="16" t="e">
        <x:f>VLOOKUP(Tabla2[[#This Row],[CODIGO]],Taller2585[[Código]:[Descripción ]],2,0)</x:f>
        <x:v>#N/A</x:v>
      </x:c>
      <x:c r="D421" s="16" t="e">
        <x:f>VLOOKUP(Tabla2[[#This Row],[CODIGO]],Taller2585[[Código]:[Referencia]],3,0)</x:f>
        <x:v>#N/A</x:v>
      </x:c>
    </x:row>
    <x:row r="422">
      <x:c r="C422" s="16" t="e">
        <x:f>VLOOKUP(Tabla2[[#This Row],[CODIGO]],Taller2585[[Código]:[Descripción ]],2,0)</x:f>
        <x:v>#N/A</x:v>
      </x:c>
      <x:c r="D422" s="16" t="e">
        <x:f>VLOOKUP(Tabla2[[#This Row],[CODIGO]],Taller2585[[Código]:[Referencia]],3,0)</x:f>
        <x:v>#N/A</x:v>
      </x:c>
    </x:row>
    <x:row r="423">
      <x:c r="C423" s="16" t="e">
        <x:f>VLOOKUP(Tabla2[[#This Row],[CODIGO]],Taller2585[[Código]:[Descripción ]],2,0)</x:f>
        <x:v>#N/A</x:v>
      </x:c>
      <x:c r="D423" s="16" t="e">
        <x:f>VLOOKUP(Tabla2[[#This Row],[CODIGO]],Taller2585[[Código]:[Referencia]],3,0)</x:f>
        <x:v>#N/A</x:v>
      </x:c>
    </x:row>
    <x:row r="424">
      <x:c r="C424" s="16" t="e">
        <x:f>VLOOKUP(Tabla2[[#This Row],[CODIGO]],Taller2585[[Código]:[Descripción ]],2,0)</x:f>
        <x:v>#N/A</x:v>
      </x:c>
      <x:c r="D424" s="16" t="e">
        <x:f>VLOOKUP(Tabla2[[#This Row],[CODIGO]],Taller2585[[Código]:[Referencia]],3,0)</x:f>
        <x:v>#N/A</x:v>
      </x:c>
    </x:row>
    <x:row r="425">
      <x:c r="C425" s="16" t="e">
        <x:f>VLOOKUP(Tabla2[[#This Row],[CODIGO]],Taller2585[[Código]:[Descripción ]],2,0)</x:f>
        <x:v>#N/A</x:v>
      </x:c>
      <x:c r="D425" s="16" t="e">
        <x:f>VLOOKUP(Tabla2[[#This Row],[CODIGO]],Taller2585[[Código]:[Referencia]],3,0)</x:f>
        <x:v>#N/A</x:v>
      </x:c>
    </x:row>
    <x:row r="426">
      <x:c r="C426" s="16" t="e">
        <x:f>VLOOKUP(Tabla2[[#This Row],[CODIGO]],Taller2585[[Código]:[Descripción ]],2,0)</x:f>
        <x:v>#N/A</x:v>
      </x:c>
      <x:c r="D426" s="16" t="e">
        <x:f>VLOOKUP(Tabla2[[#This Row],[CODIGO]],Taller2585[[Código]:[Referencia]],3,0)</x:f>
        <x:v>#N/A</x:v>
      </x:c>
    </x:row>
    <x:row r="427">
      <x:c r="C427" s="16" t="e">
        <x:f>VLOOKUP(Tabla2[[#This Row],[CODIGO]],Taller2585[[Código]:[Descripción ]],2,0)</x:f>
        <x:v>#N/A</x:v>
      </x:c>
      <x:c r="D427" s="16" t="e">
        <x:f>VLOOKUP(Tabla2[[#This Row],[CODIGO]],Taller2585[[Código]:[Referencia]],3,0)</x:f>
        <x:v>#N/A</x:v>
      </x:c>
    </x:row>
    <x:row r="428">
      <x:c r="C428" s="16" t="e">
        <x:f>VLOOKUP(Tabla2[[#This Row],[CODIGO]],Taller2585[[Código]:[Descripción ]],2,0)</x:f>
        <x:v>#N/A</x:v>
      </x:c>
      <x:c r="D428" s="16" t="e">
        <x:f>VLOOKUP(Tabla2[[#This Row],[CODIGO]],Taller2585[[Código]:[Referencia]],3,0)</x:f>
        <x:v>#N/A</x:v>
      </x:c>
    </x:row>
    <x:row r="429">
      <x:c r="C429" s="16" t="e">
        <x:f>VLOOKUP(Tabla2[[#This Row],[CODIGO]],Taller2585[[Código]:[Descripción ]],2,0)</x:f>
        <x:v>#N/A</x:v>
      </x:c>
      <x:c r="D429" s="16" t="e">
        <x:f>VLOOKUP(Tabla2[[#This Row],[CODIGO]],Taller2585[[Código]:[Referencia]],3,0)</x:f>
        <x:v>#N/A</x:v>
      </x:c>
    </x:row>
    <x:row r="430">
      <x:c r="C430" s="16" t="e">
        <x:f>VLOOKUP(Tabla2[[#This Row],[CODIGO]],Taller2585[[Código]:[Descripción ]],2,0)</x:f>
        <x:v>#N/A</x:v>
      </x:c>
      <x:c r="D430" s="16" t="e">
        <x:f>VLOOKUP(Tabla2[[#This Row],[CODIGO]],Taller2585[[Código]:[Referencia]],3,0)</x:f>
        <x:v>#N/A</x:v>
      </x:c>
    </x:row>
    <x:row r="431">
      <x:c r="C431" s="16" t="e">
        <x:f>VLOOKUP(Tabla2[[#This Row],[CODIGO]],Taller2585[[Código]:[Descripción ]],2,0)</x:f>
        <x:v>#N/A</x:v>
      </x:c>
      <x:c r="D431" s="16" t="e">
        <x:f>VLOOKUP(Tabla2[[#This Row],[CODIGO]],Taller2585[[Código]:[Referencia]],3,0)</x:f>
        <x:v>#N/A</x:v>
      </x:c>
    </x:row>
    <x:row r="432">
      <x:c r="C432" s="16" t="e">
        <x:f>VLOOKUP(Tabla2[[#This Row],[CODIGO]],Taller2585[[Código]:[Descripción ]],2,0)</x:f>
        <x:v>#N/A</x:v>
      </x:c>
      <x:c r="D432" s="16" t="e">
        <x:f>VLOOKUP(Tabla2[[#This Row],[CODIGO]],Taller2585[[Código]:[Referencia]],3,0)</x:f>
        <x:v>#N/A</x:v>
      </x:c>
    </x:row>
    <x:row r="433">
      <x:c r="C433" s="16" t="e">
        <x:f>VLOOKUP(Tabla2[[#This Row],[CODIGO]],Taller2585[[Código]:[Descripción ]],2,0)</x:f>
        <x:v>#N/A</x:v>
      </x:c>
      <x:c r="D433" s="16" t="e">
        <x:f>VLOOKUP(Tabla2[[#This Row],[CODIGO]],Taller2585[[Código]:[Referencia]],3,0)</x:f>
        <x:v>#N/A</x:v>
      </x:c>
    </x:row>
    <x:row r="434">
      <x:c r="C434" s="16" t="e">
        <x:f>VLOOKUP(Tabla2[[#This Row],[CODIGO]],Taller2585[[Código]:[Descripción ]],2,0)</x:f>
        <x:v>#N/A</x:v>
      </x:c>
      <x:c r="D434" s="16" t="e">
        <x:f>VLOOKUP(Tabla2[[#This Row],[CODIGO]],Taller2585[[Código]:[Referencia]],3,0)</x:f>
        <x:v>#N/A</x:v>
      </x:c>
    </x:row>
    <x:row r="435">
      <x:c r="C435" s="16" t="e">
        <x:f>VLOOKUP(Tabla2[[#This Row],[CODIGO]],Taller2585[[Código]:[Descripción ]],2,0)</x:f>
        <x:v>#N/A</x:v>
      </x:c>
      <x:c r="D435" s="16" t="e">
        <x:f>VLOOKUP(Tabla2[[#This Row],[CODIGO]],Taller2585[[Código]:[Referencia]],3,0)</x:f>
        <x:v>#N/A</x:v>
      </x:c>
    </x:row>
    <x:row r="436">
      <x:c r="C436" s="16" t="e">
        <x:f>VLOOKUP(Tabla2[[#This Row],[CODIGO]],Taller2585[[Código]:[Descripción ]],2,0)</x:f>
        <x:v>#N/A</x:v>
      </x:c>
      <x:c r="D436" s="16" t="e">
        <x:f>VLOOKUP(Tabla2[[#This Row],[CODIGO]],Taller2585[[Código]:[Referencia]],3,0)</x:f>
        <x:v>#N/A</x:v>
      </x:c>
    </x:row>
    <x:row r="437">
      <x:c r="C437" s="16" t="e">
        <x:f>VLOOKUP(Tabla2[[#This Row],[CODIGO]],Taller2585[[Código]:[Descripción ]],2,0)</x:f>
        <x:v>#N/A</x:v>
      </x:c>
      <x:c r="D437" s="16" t="e">
        <x:f>VLOOKUP(Tabla2[[#This Row],[CODIGO]],Taller2585[[Código]:[Referencia]],3,0)</x:f>
        <x:v>#N/A</x:v>
      </x:c>
    </x:row>
    <x:row r="438">
      <x:c r="C438" s="16" t="e">
        <x:f>VLOOKUP(Tabla2[[#This Row],[CODIGO]],Taller2585[[Código]:[Descripción ]],2,0)</x:f>
        <x:v>#N/A</x:v>
      </x:c>
      <x:c r="D438" s="16" t="e">
        <x:f>VLOOKUP(Tabla2[[#This Row],[CODIGO]],Taller2585[[Código]:[Referencia]],3,0)</x:f>
        <x:v>#N/A</x:v>
      </x:c>
    </x:row>
    <x:row r="439">
      <x:c r="C439" s="16" t="e">
        <x:f>VLOOKUP(Tabla2[[#This Row],[CODIGO]],Taller2585[[Código]:[Descripción ]],2,0)</x:f>
        <x:v>#N/A</x:v>
      </x:c>
      <x:c r="D439" s="16" t="e">
        <x:f>VLOOKUP(Tabla2[[#This Row],[CODIGO]],Taller2585[[Código]:[Referencia]],3,0)</x:f>
        <x:v>#N/A</x:v>
      </x:c>
    </x:row>
    <x:row r="440">
      <x:c r="C440" s="16" t="e">
        <x:f>VLOOKUP(Tabla2[[#This Row],[CODIGO]],Taller2585[[Código]:[Descripción ]],2,0)</x:f>
        <x:v>#N/A</x:v>
      </x:c>
      <x:c r="D440" s="16" t="e">
        <x:f>VLOOKUP(Tabla2[[#This Row],[CODIGO]],Taller2585[[Código]:[Referencia]],3,0)</x:f>
        <x:v>#N/A</x:v>
      </x:c>
    </x:row>
    <x:row r="441">
      <x:c r="C441" s="16" t="e">
        <x:f>VLOOKUP(Tabla2[[#This Row],[CODIGO]],Taller2585[[Código]:[Descripción ]],2,0)</x:f>
        <x:v>#N/A</x:v>
      </x:c>
      <x:c r="D441" s="16" t="e">
        <x:f>VLOOKUP(Tabla2[[#This Row],[CODIGO]],Taller2585[[Código]:[Referencia]],3,0)</x:f>
        <x:v>#N/A</x:v>
      </x:c>
    </x:row>
    <x:row r="442">
      <x:c r="C442" s="16" t="e">
        <x:f>VLOOKUP(Tabla2[[#This Row],[CODIGO]],Taller2585[[Código]:[Descripción ]],2,0)</x:f>
        <x:v>#N/A</x:v>
      </x:c>
      <x:c r="D442" s="16" t="e">
        <x:f>VLOOKUP(Tabla2[[#This Row],[CODIGO]],Taller2585[[Código]:[Referencia]],3,0)</x:f>
        <x:v>#N/A</x:v>
      </x:c>
    </x:row>
    <x:row r="443">
      <x:c r="C443" s="16" t="e">
        <x:f>VLOOKUP(Tabla2[[#This Row],[CODIGO]],Taller2585[[Código]:[Descripción ]],2,0)</x:f>
        <x:v>#N/A</x:v>
      </x:c>
      <x:c r="D443" s="16" t="e">
        <x:f>VLOOKUP(Tabla2[[#This Row],[CODIGO]],Taller2585[[Código]:[Referencia]],3,0)</x:f>
        <x:v>#N/A</x:v>
      </x:c>
    </x:row>
    <x:row r="444">
      <x:c r="C444" s="16" t="e">
        <x:f>VLOOKUP(Tabla2[[#This Row],[CODIGO]],Taller2585[[Código]:[Descripción ]],2,0)</x:f>
        <x:v>#N/A</x:v>
      </x:c>
      <x:c r="D444" s="16" t="e">
        <x:f>VLOOKUP(Tabla2[[#This Row],[CODIGO]],Taller2585[[Código]:[Referencia]],3,0)</x:f>
        <x:v>#N/A</x:v>
      </x:c>
    </x:row>
    <x:row r="445">
      <x:c r="C445" s="16" t="e">
        <x:f>VLOOKUP(Tabla2[[#This Row],[CODIGO]],Taller2585[[Código]:[Descripción ]],2,0)</x:f>
        <x:v>#N/A</x:v>
      </x:c>
      <x:c r="D445" s="16" t="e">
        <x:f>VLOOKUP(Tabla2[[#This Row],[CODIGO]],Taller2585[[Código]:[Referencia]],3,0)</x:f>
        <x:v>#N/A</x:v>
      </x:c>
    </x:row>
    <x:row r="446">
      <x:c r="C446" s="16" t="e">
        <x:f>VLOOKUP(Tabla2[[#This Row],[CODIGO]],Taller2585[[Código]:[Descripción ]],2,0)</x:f>
        <x:v>#N/A</x:v>
      </x:c>
      <x:c r="D446" s="16" t="e">
        <x:f>VLOOKUP(Tabla2[[#This Row],[CODIGO]],Taller2585[[Código]:[Referencia]],3,0)</x:f>
        <x:v>#N/A</x:v>
      </x:c>
    </x:row>
    <x:row r="447">
      <x:c r="C447" s="16" t="e">
        <x:f>VLOOKUP(Tabla2[[#This Row],[CODIGO]],Taller2585[[Código]:[Descripción ]],2,0)</x:f>
        <x:v>#N/A</x:v>
      </x:c>
      <x:c r="D447" s="16" t="e">
        <x:f>VLOOKUP(Tabla2[[#This Row],[CODIGO]],Taller2585[[Código]:[Referencia]],3,0)</x:f>
        <x:v>#N/A</x:v>
      </x:c>
    </x:row>
    <x:row r="448">
      <x:c r="C448" s="16" t="e">
        <x:f>VLOOKUP(Tabla2[[#This Row],[CODIGO]],Taller2585[[Código]:[Descripción ]],2,0)</x:f>
        <x:v>#N/A</x:v>
      </x:c>
      <x:c r="D448" s="16" t="e">
        <x:f>VLOOKUP(Tabla2[[#This Row],[CODIGO]],Taller2585[[Código]:[Referencia]],3,0)</x:f>
        <x:v>#N/A</x:v>
      </x:c>
    </x:row>
    <x:row r="449">
      <x:c r="C449" s="16" t="e">
        <x:f>VLOOKUP(Tabla2[[#This Row],[CODIGO]],Taller2585[[Código]:[Descripción ]],2,0)</x:f>
        <x:v>#N/A</x:v>
      </x:c>
      <x:c r="D449" s="16" t="e">
        <x:f>VLOOKUP(Tabla2[[#This Row],[CODIGO]],Taller2585[[Código]:[Referencia]],3,0)</x:f>
        <x:v>#N/A</x:v>
      </x:c>
    </x:row>
    <x:row r="450">
      <x:c r="C450" s="16" t="e">
        <x:f>VLOOKUP(Tabla2[[#This Row],[CODIGO]],Taller2585[[Código]:[Descripción ]],2,0)</x:f>
        <x:v>#N/A</x:v>
      </x:c>
      <x:c r="D450" s="16" t="e">
        <x:f>VLOOKUP(Tabla2[[#This Row],[CODIGO]],Taller2585[[Código]:[Referencia]],3,0)</x:f>
        <x:v>#N/A</x:v>
      </x:c>
    </x:row>
    <x:row r="451">
      <x:c r="C451" s="16" t="e">
        <x:f>VLOOKUP(Tabla2[[#This Row],[CODIGO]],Taller2585[[Código]:[Descripción ]],2,0)</x:f>
        <x:v>#N/A</x:v>
      </x:c>
      <x:c r="D451" s="16" t="e">
        <x:f>VLOOKUP(Tabla2[[#This Row],[CODIGO]],Taller2585[[Código]:[Referencia]],3,0)</x:f>
        <x:v>#N/A</x:v>
      </x:c>
    </x:row>
    <x:row r="452">
      <x:c r="C452" s="16" t="e">
        <x:f>VLOOKUP(Tabla2[[#This Row],[CODIGO]],Taller2585[[Código]:[Descripción ]],2,0)</x:f>
        <x:v>#N/A</x:v>
      </x:c>
      <x:c r="D452" s="16" t="e">
        <x:f>VLOOKUP(Tabla2[[#This Row],[CODIGO]],Taller2585[[Código]:[Referencia]],3,0)</x:f>
        <x:v>#N/A</x:v>
      </x:c>
    </x:row>
    <x:row r="453">
      <x:c r="C453" s="16" t="e">
        <x:f>VLOOKUP(Tabla2[[#This Row],[CODIGO]],Taller2585[[Código]:[Descripción ]],2,0)</x:f>
        <x:v>#N/A</x:v>
      </x:c>
      <x:c r="D453" s="16" t="e">
        <x:f>VLOOKUP(Tabla2[[#This Row],[CODIGO]],Taller2585[[Código]:[Referencia]],3,0)</x:f>
        <x:v>#N/A</x:v>
      </x:c>
    </x:row>
    <x:row r="454">
      <x:c r="C454" s="16" t="e">
        <x:f>VLOOKUP(Tabla2[[#This Row],[CODIGO]],Taller2585[[Código]:[Descripción ]],2,0)</x:f>
        <x:v>#N/A</x:v>
      </x:c>
      <x:c r="D454" s="16" t="e">
        <x:f>VLOOKUP(Tabla2[[#This Row],[CODIGO]],Taller2585[[Código]:[Referencia]],3,0)</x:f>
        <x:v>#N/A</x:v>
      </x:c>
    </x:row>
    <x:row r="455">
      <x:c r="C455" s="16" t="e">
        <x:f>VLOOKUP(Tabla2[[#This Row],[CODIGO]],Taller2585[[Código]:[Descripción ]],2,0)</x:f>
        <x:v>#N/A</x:v>
      </x:c>
      <x:c r="D455" s="16" t="e">
        <x:f>VLOOKUP(Tabla2[[#This Row],[CODIGO]],Taller2585[[Código]:[Referencia]],3,0)</x:f>
        <x:v>#N/A</x:v>
      </x:c>
    </x:row>
    <x:row r="456">
      <x:c r="C456" s="16" t="e">
        <x:f>VLOOKUP(Tabla2[[#This Row],[CODIGO]],Taller2585[[Código]:[Descripción ]],2,0)</x:f>
        <x:v>#N/A</x:v>
      </x:c>
      <x:c r="D456" s="16" t="e">
        <x:f>VLOOKUP(Tabla2[[#This Row],[CODIGO]],Taller2585[[Código]:[Referencia]],3,0)</x:f>
        <x:v>#N/A</x:v>
      </x:c>
    </x:row>
    <x:row r="457">
      <x:c r="C457" s="16" t="e">
        <x:f>VLOOKUP(Tabla2[[#This Row],[CODIGO]],Taller2585[[Código]:[Descripción ]],2,0)</x:f>
        <x:v>#N/A</x:v>
      </x:c>
      <x:c r="D457" s="16" t="e">
        <x:f>VLOOKUP(Tabla2[[#This Row],[CODIGO]],Taller2585[[Código]:[Referencia]],3,0)</x:f>
        <x:v>#N/A</x:v>
      </x:c>
    </x:row>
    <x:row r="458">
      <x:c r="C458" s="16" t="e">
        <x:f>VLOOKUP(Tabla2[[#This Row],[CODIGO]],Taller2585[[Código]:[Descripción ]],2,0)</x:f>
        <x:v>#N/A</x:v>
      </x:c>
      <x:c r="D458" s="16" t="e">
        <x:f>VLOOKUP(Tabla2[[#This Row],[CODIGO]],Taller2585[[Código]:[Referencia]],3,0)</x:f>
        <x:v>#N/A</x:v>
      </x:c>
    </x:row>
    <x:row r="459">
      <x:c r="C459" s="16" t="e">
        <x:f>VLOOKUP(Tabla2[[#This Row],[CODIGO]],Taller2585[[Código]:[Descripción ]],2,0)</x:f>
        <x:v>#N/A</x:v>
      </x:c>
      <x:c r="D459" s="16" t="e">
        <x:f>VLOOKUP(Tabla2[[#This Row],[CODIGO]],Taller2585[[Código]:[Referencia]],3,0)</x:f>
        <x:v>#N/A</x:v>
      </x:c>
    </x:row>
    <x:row r="460">
      <x:c r="C460" s="16" t="e">
        <x:f>VLOOKUP(Tabla2[[#This Row],[CODIGO]],Taller2585[[Código]:[Descripción ]],2,0)</x:f>
        <x:v>#N/A</x:v>
      </x:c>
      <x:c r="D460" s="16" t="e">
        <x:f>VLOOKUP(Tabla2[[#This Row],[CODIGO]],Taller2585[[Código]:[Referencia]],3,0)</x:f>
        <x:v>#N/A</x:v>
      </x:c>
    </x:row>
    <x:row r="461">
      <x:c r="C461" s="16" t="e">
        <x:f>VLOOKUP(Tabla2[[#This Row],[CODIGO]],Taller2585[[Código]:[Descripción ]],2,0)</x:f>
        <x:v>#N/A</x:v>
      </x:c>
      <x:c r="D461" s="16" t="e">
        <x:f>VLOOKUP(Tabla2[[#This Row],[CODIGO]],Taller2585[[Código]:[Referencia]],3,0)</x:f>
        <x:v>#N/A</x:v>
      </x:c>
    </x:row>
    <x:row r="462">
      <x:c r="C462" s="16" t="e">
        <x:f>VLOOKUP(Tabla2[[#This Row],[CODIGO]],Taller2585[[Código]:[Descripción ]],2,0)</x:f>
        <x:v>#N/A</x:v>
      </x:c>
      <x:c r="D462" s="16" t="e">
        <x:f>VLOOKUP(Tabla2[[#This Row],[CODIGO]],Taller2585[[Código]:[Referencia]],3,0)</x:f>
        <x:v>#N/A</x:v>
      </x:c>
    </x:row>
    <x:row r="463">
      <x:c r="C463" s="16" t="e">
        <x:f>VLOOKUP(Tabla2[[#This Row],[CODIGO]],Taller2585[[Código]:[Descripción ]],2,0)</x:f>
        <x:v>#N/A</x:v>
      </x:c>
      <x:c r="D463" s="16" t="e">
        <x:f>VLOOKUP(Tabla2[[#This Row],[CODIGO]],Taller2585[[Código]:[Referencia]],3,0)</x:f>
        <x:v>#N/A</x:v>
      </x:c>
    </x:row>
    <x:row r="464">
      <x:c r="C464" s="16" t="e">
        <x:f>VLOOKUP(Tabla2[[#This Row],[CODIGO]],Taller2585[[Código]:[Descripción ]],2,0)</x:f>
        <x:v>#N/A</x:v>
      </x:c>
      <x:c r="D464" s="16" t="e">
        <x:f>VLOOKUP(Tabla2[[#This Row],[CODIGO]],Taller2585[[Código]:[Referencia]],3,0)</x:f>
        <x:v>#N/A</x:v>
      </x:c>
    </x:row>
    <x:row r="465">
      <x:c r="C465" s="16" t="e">
        <x:f>VLOOKUP(Tabla2[[#This Row],[CODIGO]],Taller2585[[Código]:[Descripción ]],2,0)</x:f>
        <x:v>#N/A</x:v>
      </x:c>
      <x:c r="D465" s="16" t="e">
        <x:f>VLOOKUP(Tabla2[[#This Row],[CODIGO]],Taller2585[[Código]:[Referencia]],3,0)</x:f>
        <x:v>#N/A</x:v>
      </x:c>
    </x:row>
    <x:row r="466">
      <x:c r="C466" s="16" t="e">
        <x:f>VLOOKUP(Tabla2[[#This Row],[CODIGO]],Taller2585[[Código]:[Descripción ]],2,0)</x:f>
        <x:v>#N/A</x:v>
      </x:c>
      <x:c r="D466" s="16" t="e">
        <x:f>VLOOKUP(Tabla2[[#This Row],[CODIGO]],Taller2585[[Código]:[Referencia]],3,0)</x:f>
        <x:v>#N/A</x:v>
      </x:c>
    </x:row>
    <x:row r="467">
      <x:c r="C467" s="16" t="e">
        <x:f>VLOOKUP(Tabla2[[#This Row],[CODIGO]],Taller2585[[Código]:[Descripción ]],2,0)</x:f>
        <x:v>#N/A</x:v>
      </x:c>
      <x:c r="D467" s="16" t="e">
        <x:f>VLOOKUP(Tabla2[[#This Row],[CODIGO]],Taller2585[[Código]:[Referencia]],3,0)</x:f>
        <x:v>#N/A</x:v>
      </x:c>
    </x:row>
    <x:row r="468">
      <x:c r="C468" s="16" t="e">
        <x:f>VLOOKUP(Tabla2[[#This Row],[CODIGO]],Taller2585[[Código]:[Descripción ]],2,0)</x:f>
        <x:v>#N/A</x:v>
      </x:c>
      <x:c r="D468" s="16" t="e">
        <x:f>VLOOKUP(Tabla2[[#This Row],[CODIGO]],Taller2585[[Código]:[Referencia]],3,0)</x:f>
        <x:v>#N/A</x:v>
      </x:c>
    </x:row>
    <x:row r="469">
      <x:c r="C469" s="16" t="e">
        <x:f>VLOOKUP(Tabla2[[#This Row],[CODIGO]],Taller2585[[Código]:[Descripción ]],2,0)</x:f>
        <x:v>#N/A</x:v>
      </x:c>
      <x:c r="D469" s="16" t="e">
        <x:f>VLOOKUP(Tabla2[[#This Row],[CODIGO]],Taller2585[[Código]:[Referencia]],3,0)</x:f>
        <x:v>#N/A</x:v>
      </x:c>
    </x:row>
    <x:row r="470">
      <x:c r="C470" s="16" t="e">
        <x:f>VLOOKUP(Tabla2[[#This Row],[CODIGO]],Taller2585[[Código]:[Descripción ]],2,0)</x:f>
        <x:v>#N/A</x:v>
      </x:c>
      <x:c r="D470" s="16" t="e">
        <x:f>VLOOKUP(Tabla2[[#This Row],[CODIGO]],Taller2585[[Código]:[Referencia]],3,0)</x:f>
        <x:v>#N/A</x:v>
      </x:c>
    </x:row>
    <x:row r="471">
      <x:c r="C471" s="16" t="e">
        <x:f>VLOOKUP(Tabla2[[#This Row],[CODIGO]],Taller2585[[Código]:[Descripción ]],2,0)</x:f>
        <x:v>#N/A</x:v>
      </x:c>
      <x:c r="D471" s="16" t="e">
        <x:f>VLOOKUP(Tabla2[[#This Row],[CODIGO]],Taller2585[[Código]:[Referencia]],3,0)</x:f>
        <x:v>#N/A</x:v>
      </x:c>
    </x:row>
    <x:row r="472">
      <x:c r="C472" s="16" t="e">
        <x:f>VLOOKUP(Tabla2[[#This Row],[CODIGO]],Taller2585[[Código]:[Descripción ]],2,0)</x:f>
        <x:v>#N/A</x:v>
      </x:c>
      <x:c r="D472" s="16" t="e">
        <x:f>VLOOKUP(Tabla2[[#This Row],[CODIGO]],Taller2585[[Código]:[Referencia]],3,0)</x:f>
        <x:v>#N/A</x:v>
      </x:c>
    </x:row>
    <x:row r="473">
      <x:c r="C473" s="16" t="e">
        <x:f>VLOOKUP(Tabla2[[#This Row],[CODIGO]],Taller2585[[Código]:[Descripción ]],2,0)</x:f>
        <x:v>#N/A</x:v>
      </x:c>
      <x:c r="D473" s="16" t="e">
        <x:f>VLOOKUP(Tabla2[[#This Row],[CODIGO]],Taller2585[[Código]:[Referencia]],3,0)</x:f>
        <x:v>#N/A</x:v>
      </x:c>
    </x:row>
    <x:row r="474">
      <x:c r="C474" s="16" t="e">
        <x:f>VLOOKUP(Tabla2[[#This Row],[CODIGO]],Taller2585[[Código]:[Descripción ]],2,0)</x:f>
        <x:v>#N/A</x:v>
      </x:c>
      <x:c r="D474" s="16" t="e">
        <x:f>VLOOKUP(Tabla2[[#This Row],[CODIGO]],Taller2585[[Código]:[Referencia]],3,0)</x:f>
        <x:v>#N/A</x:v>
      </x:c>
    </x:row>
    <x:row r="475">
      <x:c r="C475" s="16" t="e">
        <x:f>VLOOKUP(Tabla2[[#This Row],[CODIGO]],Taller2585[[Código]:[Descripción ]],2,0)</x:f>
        <x:v>#N/A</x:v>
      </x:c>
      <x:c r="D475" s="16" t="e">
        <x:f>VLOOKUP(Tabla2[[#This Row],[CODIGO]],Taller2585[[Código]:[Referencia]],3,0)</x:f>
        <x:v>#N/A</x:v>
      </x:c>
    </x:row>
    <x:row r="476">
      <x:c r="C476" s="16" t="e">
        <x:f>VLOOKUP(Tabla2[[#This Row],[CODIGO]],Taller2585[[Código]:[Descripción ]],2,0)</x:f>
        <x:v>#N/A</x:v>
      </x:c>
      <x:c r="D476" s="16" t="e">
        <x:f>VLOOKUP(Tabla2[[#This Row],[CODIGO]],Taller2585[[Código]:[Referencia]],3,0)</x:f>
        <x:v>#N/A</x:v>
      </x:c>
    </x:row>
    <x:row r="477">
      <x:c r="C477" s="16" t="e">
        <x:f>VLOOKUP(Tabla2[[#This Row],[CODIGO]],Taller2585[[Código]:[Descripción ]],2,0)</x:f>
        <x:v>#N/A</x:v>
      </x:c>
      <x:c r="D477" s="16" t="e">
        <x:f>VLOOKUP(Tabla2[[#This Row],[CODIGO]],Taller2585[[Código]:[Referencia]],3,0)</x:f>
        <x:v>#N/A</x:v>
      </x:c>
    </x:row>
    <x:row r="478">
      <x:c r="C478" s="16" t="e">
        <x:f>VLOOKUP(Tabla2[[#This Row],[CODIGO]],Taller2585[[Código]:[Descripción ]],2,0)</x:f>
        <x:v>#N/A</x:v>
      </x:c>
      <x:c r="D478" s="16" t="e">
        <x:f>VLOOKUP(Tabla2[[#This Row],[CODIGO]],Taller2585[[Código]:[Referencia]],3,0)</x:f>
        <x:v>#N/A</x:v>
      </x:c>
    </x:row>
    <x:row r="479">
      <x:c r="C479" s="16" t="e">
        <x:f>VLOOKUP(Tabla2[[#This Row],[CODIGO]],Taller2585[[Código]:[Descripción ]],2,0)</x:f>
        <x:v>#N/A</x:v>
      </x:c>
      <x:c r="D479" s="16" t="e">
        <x:f>VLOOKUP(Tabla2[[#This Row],[CODIGO]],Taller2585[[Código]:[Referencia]],3,0)</x:f>
        <x:v>#N/A</x:v>
      </x:c>
    </x:row>
    <x:row r="480">
      <x:c r="C480" s="16" t="e">
        <x:f>VLOOKUP(Tabla2[[#This Row],[CODIGO]],Taller2585[[Código]:[Descripción ]],2,0)</x:f>
        <x:v>#N/A</x:v>
      </x:c>
      <x:c r="D480" s="16" t="e">
        <x:f>VLOOKUP(Tabla2[[#This Row],[CODIGO]],Taller2585[[Código]:[Referencia]],3,0)</x:f>
        <x:v>#N/A</x:v>
      </x:c>
    </x:row>
    <x:row r="481">
      <x:c r="C481" s="16" t="e">
        <x:f>VLOOKUP(Tabla2[[#This Row],[CODIGO]],Taller2585[[Código]:[Descripción ]],2,0)</x:f>
        <x:v>#N/A</x:v>
      </x:c>
      <x:c r="D481" s="16" t="e">
        <x:f>VLOOKUP(Tabla2[[#This Row],[CODIGO]],Taller2585[[Código]:[Referencia]],3,0)</x:f>
        <x:v>#N/A</x:v>
      </x:c>
    </x:row>
    <x:row r="482">
      <x:c r="C482" s="16" t="e">
        <x:f>VLOOKUP(Tabla2[[#This Row],[CODIGO]],Taller2585[[Código]:[Descripción ]],2,0)</x:f>
        <x:v>#N/A</x:v>
      </x:c>
      <x:c r="D482" s="16" t="e">
        <x:f>VLOOKUP(Tabla2[[#This Row],[CODIGO]],Taller2585[[Código]:[Referencia]],3,0)</x:f>
        <x:v>#N/A</x:v>
      </x:c>
    </x:row>
    <x:row r="483">
      <x:c r="C483" s="16" t="e">
        <x:f>VLOOKUP(Tabla2[[#This Row],[CODIGO]],Taller2585[[Código]:[Descripción ]],2,0)</x:f>
        <x:v>#N/A</x:v>
      </x:c>
      <x:c r="D483" s="16" t="e">
        <x:f>VLOOKUP(Tabla2[[#This Row],[CODIGO]],Taller2585[[Código]:[Referencia]],3,0)</x:f>
        <x:v>#N/A</x:v>
      </x:c>
    </x:row>
    <x:row r="484">
      <x:c r="C484" s="16" t="e">
        <x:f>VLOOKUP(Tabla2[[#This Row],[CODIGO]],Taller2585[[Código]:[Descripción ]],2,0)</x:f>
        <x:v>#N/A</x:v>
      </x:c>
      <x:c r="D484" s="16" t="e">
        <x:f>VLOOKUP(Tabla2[[#This Row],[CODIGO]],Taller2585[[Código]:[Referencia]],3,0)</x:f>
        <x:v>#N/A</x:v>
      </x:c>
    </x:row>
    <x:row r="485">
      <x:c r="C485" s="16" t="e">
        <x:f>VLOOKUP(Tabla2[[#This Row],[CODIGO]],Taller2585[[Código]:[Descripción ]],2,0)</x:f>
        <x:v>#N/A</x:v>
      </x:c>
      <x:c r="D485" s="16" t="e">
        <x:f>VLOOKUP(Tabla2[[#This Row],[CODIGO]],Taller2585[[Código]:[Referencia]],3,0)</x:f>
        <x:v>#N/A</x:v>
      </x:c>
    </x:row>
    <x:row r="486">
      <x:c r="C486" s="16" t="e">
        <x:f>VLOOKUP(Tabla2[[#This Row],[CODIGO]],Taller2585[[Código]:[Descripción ]],2,0)</x:f>
        <x:v>#N/A</x:v>
      </x:c>
      <x:c r="D486" s="16" t="e">
        <x:f>VLOOKUP(Tabla2[[#This Row],[CODIGO]],Taller2585[[Código]:[Referencia]],3,0)</x:f>
        <x:v>#N/A</x:v>
      </x:c>
    </x:row>
    <x:row r="487">
      <x:c r="C487" s="16" t="e">
        <x:f>VLOOKUP(Tabla2[[#This Row],[CODIGO]],Taller2585[[Código]:[Descripción ]],2,0)</x:f>
        <x:v>#N/A</x:v>
      </x:c>
      <x:c r="D487" s="16" t="e">
        <x:f>VLOOKUP(Tabla2[[#This Row],[CODIGO]],Taller2585[[Código]:[Referencia]],3,0)</x:f>
        <x:v>#N/A</x:v>
      </x:c>
    </x:row>
    <x:row r="488">
      <x:c r="C488" s="16" t="e">
        <x:f>VLOOKUP(Tabla2[[#This Row],[CODIGO]],Taller2585[[Código]:[Descripción ]],2,0)</x:f>
        <x:v>#N/A</x:v>
      </x:c>
      <x:c r="D488" s="16" t="e">
        <x:f>VLOOKUP(Tabla2[[#This Row],[CODIGO]],Taller2585[[Código]:[Referencia]],3,0)</x:f>
        <x:v>#N/A</x:v>
      </x:c>
    </x:row>
    <x:row r="489">
      <x:c r="C489" s="16" t="e">
        <x:f>VLOOKUP(Tabla2[[#This Row],[CODIGO]],Taller2585[[Código]:[Descripción ]],2,0)</x:f>
        <x:v>#N/A</x:v>
      </x:c>
      <x:c r="D489" s="16" t="e">
        <x:f>VLOOKUP(Tabla2[[#This Row],[CODIGO]],Taller2585[[Código]:[Referencia]],3,0)</x:f>
        <x:v>#N/A</x:v>
      </x:c>
    </x:row>
    <x:row r="490">
      <x:c r="C490" s="16" t="e">
        <x:f>VLOOKUP(Tabla2[[#This Row],[CODIGO]],Taller2585[[Código]:[Descripción ]],2,0)</x:f>
        <x:v>#N/A</x:v>
      </x:c>
      <x:c r="D490" s="16" t="e">
        <x:f>VLOOKUP(Tabla2[[#This Row],[CODIGO]],Taller2585[[Código]:[Referencia]],3,0)</x:f>
        <x:v>#N/A</x:v>
      </x:c>
    </x:row>
    <x:row r="491">
      <x:c r="C491" s="16" t="e">
        <x:f>VLOOKUP(Tabla2[[#This Row],[CODIGO]],Taller2585[[Código]:[Descripción ]],2,0)</x:f>
        <x:v>#N/A</x:v>
      </x:c>
      <x:c r="D491" s="16" t="e">
        <x:f>VLOOKUP(Tabla2[[#This Row],[CODIGO]],Taller2585[[Código]:[Referencia]],3,0)</x:f>
        <x:v>#N/A</x:v>
      </x:c>
    </x:row>
    <x:row r="492">
      <x:c r="C492" s="16" t="e">
        <x:f>VLOOKUP(Tabla2[[#This Row],[CODIGO]],Taller2585[[Código]:[Descripción ]],2,0)</x:f>
        <x:v>#N/A</x:v>
      </x:c>
      <x:c r="D492" s="16" t="e">
        <x:f>VLOOKUP(Tabla2[[#This Row],[CODIGO]],Taller2585[[Código]:[Referencia]],3,0)</x:f>
        <x:v>#N/A</x:v>
      </x:c>
    </x:row>
    <x:row r="493">
      <x:c r="C493" s="16" t="e">
        <x:f>VLOOKUP(Tabla2[[#This Row],[CODIGO]],Taller2585[[Código]:[Descripción ]],2,0)</x:f>
        <x:v>#N/A</x:v>
      </x:c>
      <x:c r="D493" s="16" t="e">
        <x:f>VLOOKUP(Tabla2[[#This Row],[CODIGO]],Taller2585[[Código]:[Referencia]],3,0)</x:f>
        <x:v>#N/A</x:v>
      </x:c>
    </x:row>
    <x:row r="494">
      <x:c r="C494" s="16" t="e">
        <x:f>VLOOKUP(Tabla2[[#This Row],[CODIGO]],Taller2585[[Código]:[Descripción ]],2,0)</x:f>
        <x:v>#N/A</x:v>
      </x:c>
      <x:c r="D494" s="16" t="e">
        <x:f>VLOOKUP(Tabla2[[#This Row],[CODIGO]],Taller2585[[Código]:[Referencia]],3,0)</x:f>
        <x:v>#N/A</x:v>
      </x:c>
    </x:row>
    <x:row r="495">
      <x:c r="C495" s="16" t="e">
        <x:f>VLOOKUP(Tabla2[[#This Row],[CODIGO]],Taller2585[[Código]:[Descripción ]],2,0)</x:f>
        <x:v>#N/A</x:v>
      </x:c>
      <x:c r="D495" s="16" t="e">
        <x:f>VLOOKUP(Tabla2[[#This Row],[CODIGO]],Taller2585[[Código]:[Referencia]],3,0)</x:f>
        <x:v>#N/A</x:v>
      </x:c>
    </x:row>
    <x:row r="496">
      <x:c r="C496" s="16" t="e">
        <x:f>VLOOKUP(Tabla2[[#This Row],[CODIGO]],Taller2585[[Código]:[Descripción ]],2,0)</x:f>
        <x:v>#N/A</x:v>
      </x:c>
      <x:c r="D496" s="16" t="e">
        <x:f>VLOOKUP(Tabla2[[#This Row],[CODIGO]],Taller2585[[Código]:[Referencia]],3,0)</x:f>
        <x:v>#N/A</x:v>
      </x:c>
    </x:row>
    <x:row r="497">
      <x:c r="C497" s="16" t="e">
        <x:f>VLOOKUP(Tabla2[[#This Row],[CODIGO]],Taller2585[[Código]:[Descripción ]],2,0)</x:f>
        <x:v>#N/A</x:v>
      </x:c>
      <x:c r="D497" s="16" t="e">
        <x:f>VLOOKUP(Tabla2[[#This Row],[CODIGO]],Taller2585[[Código]:[Referencia]],3,0)</x:f>
        <x:v>#N/A</x:v>
      </x:c>
    </x:row>
    <x:row r="498">
      <x:c r="C498" s="16" t="e">
        <x:f>VLOOKUP(Tabla2[[#This Row],[CODIGO]],Taller2585[[Código]:[Descripción ]],2,0)</x:f>
        <x:v>#N/A</x:v>
      </x:c>
      <x:c r="D498" s="16" t="e">
        <x:f>VLOOKUP(Tabla2[[#This Row],[CODIGO]],Taller2585[[Código]:[Referencia]],3,0)</x:f>
        <x:v>#N/A</x:v>
      </x:c>
    </x:row>
    <x:row r="499">
      <x:c r="C499" s="16" t="e">
        <x:f>VLOOKUP(Tabla2[[#This Row],[CODIGO]],Taller2585[[Código]:[Descripción ]],2,0)</x:f>
        <x:v>#N/A</x:v>
      </x:c>
      <x:c r="D499" s="16" t="e">
        <x:f>VLOOKUP(Tabla2[[#This Row],[CODIGO]],Taller2585[[Código]:[Referencia]],3,0)</x:f>
        <x:v>#N/A</x:v>
      </x:c>
    </x:row>
    <x:row r="500">
      <x:c r="C500" s="16" t="e">
        <x:f>VLOOKUP(Tabla2[[#This Row],[CODIGO]],Taller2585[[Código]:[Descripción ]],2,0)</x:f>
        <x:v>#N/A</x:v>
      </x:c>
      <x:c r="D500" s="16" t="e">
        <x:f>VLOOKUP(Tabla2[[#This Row],[CODIGO]],Taller2585[[Código]:[Referencia]],3,0)</x:f>
        <x:v>#N/A</x:v>
      </x:c>
    </x:row>
    <x:row r="501">
      <x:c r="C501" s="16" t="e">
        <x:f>VLOOKUP(Tabla2[[#This Row],[CODIGO]],Taller2585[[Código]:[Descripción ]],2,0)</x:f>
        <x:v>#N/A</x:v>
      </x:c>
      <x:c r="D501" s="16" t="e">
        <x:f>VLOOKUP(Tabla2[[#This Row],[CODIGO]],Taller2585[[Código]:[Referencia]],3,0)</x:f>
        <x:v>#N/A</x:v>
      </x:c>
    </x:row>
    <x:row r="502">
      <x:c r="C502" s="16" t="e">
        <x:f>VLOOKUP(Tabla2[[#This Row],[CODIGO]],Taller2585[[Código]:[Descripción ]],2,0)</x:f>
        <x:v>#N/A</x:v>
      </x:c>
      <x:c r="D502" s="16" t="e">
        <x:f>VLOOKUP(Tabla2[[#This Row],[CODIGO]],Taller2585[[Código]:[Referencia]],3,0)</x:f>
        <x:v>#N/A</x:v>
      </x:c>
    </x:row>
    <x:row r="503">
      <x:c r="C503" s="16" t="e">
        <x:f>VLOOKUP(Tabla2[[#This Row],[CODIGO]],Taller2585[[Código]:[Descripción ]],2,0)</x:f>
        <x:v>#N/A</x:v>
      </x:c>
      <x:c r="D503" s="16" t="e">
        <x:f>VLOOKUP(Tabla2[[#This Row],[CODIGO]],Taller2585[[Código]:[Referencia]],3,0)</x:f>
        <x:v>#N/A</x:v>
      </x:c>
    </x:row>
    <x:row r="504">
      <x:c r="C504" s="16" t="e">
        <x:f>VLOOKUP(Tabla2[[#This Row],[CODIGO]],Taller2585[[Código]:[Descripción ]],2,0)</x:f>
        <x:v>#N/A</x:v>
      </x:c>
      <x:c r="D504" s="16" t="e">
        <x:f>VLOOKUP(Tabla2[[#This Row],[CODIGO]],Taller2585[[Código]:[Referencia]],3,0)</x:f>
        <x:v>#N/A</x:v>
      </x:c>
    </x:row>
    <x:row r="505">
      <x:c r="C505" s="16" t="e">
        <x:f>VLOOKUP(Tabla2[[#This Row],[CODIGO]],Taller2585[[Código]:[Descripción ]],2,0)</x:f>
        <x:v>#N/A</x:v>
      </x:c>
      <x:c r="D505" s="16" t="e">
        <x:f>VLOOKUP(Tabla2[[#This Row],[CODIGO]],Taller2585[[Código]:[Referencia]],3,0)</x:f>
        <x:v>#N/A</x:v>
      </x:c>
    </x:row>
    <x:row r="506">
      <x:c r="C506" s="16" t="e">
        <x:f>VLOOKUP(Tabla2[[#This Row],[CODIGO]],Taller2585[[Código]:[Descripción ]],2,0)</x:f>
        <x:v>#N/A</x:v>
      </x:c>
      <x:c r="D506" s="16" t="e">
        <x:f>VLOOKUP(Tabla2[[#This Row],[CODIGO]],Taller2585[[Código]:[Referencia]],3,0)</x:f>
        <x:v>#N/A</x:v>
      </x:c>
    </x:row>
    <x:row r="507">
      <x:c r="C507" s="16" t="e">
        <x:f>VLOOKUP(Tabla2[[#This Row],[CODIGO]],Taller2585[[Código]:[Descripción ]],2,0)</x:f>
        <x:v>#N/A</x:v>
      </x:c>
      <x:c r="D507" s="16" t="e">
        <x:f>VLOOKUP(Tabla2[[#This Row],[CODIGO]],Taller2585[[Código]:[Referencia]],3,0)</x:f>
        <x:v>#N/A</x:v>
      </x:c>
    </x:row>
    <x:row r="508">
      <x:c r="C508" s="16" t="e">
        <x:f>VLOOKUP(Tabla2[[#This Row],[CODIGO]],Taller2585[[Código]:[Descripción ]],2,0)</x:f>
        <x:v>#N/A</x:v>
      </x:c>
      <x:c r="D508" s="16" t="e">
        <x:f>VLOOKUP(Tabla2[[#This Row],[CODIGO]],Taller2585[[Código]:[Referencia]],3,0)</x:f>
        <x:v>#N/A</x:v>
      </x:c>
    </x:row>
    <x:row r="509">
      <x:c r="C509" s="16" t="e">
        <x:f>VLOOKUP(Tabla2[[#This Row],[CODIGO]],Taller2585[[Código]:[Descripción ]],2,0)</x:f>
        <x:v>#N/A</x:v>
      </x:c>
      <x:c r="D509" s="16" t="e">
        <x:f>VLOOKUP(Tabla2[[#This Row],[CODIGO]],Taller2585[[Código]:[Referencia]],3,0)</x:f>
        <x:v>#N/A</x:v>
      </x:c>
    </x:row>
    <x:row r="510">
      <x:c r="C510" s="16" t="e">
        <x:f>VLOOKUP(Tabla2[[#This Row],[CODIGO]],Taller2585[[Código]:[Descripción ]],2,0)</x:f>
        <x:v>#N/A</x:v>
      </x:c>
      <x:c r="D510" s="16" t="e">
        <x:f>VLOOKUP(Tabla2[[#This Row],[CODIGO]],Taller2585[[Código]:[Referencia]],3,0)</x:f>
        <x:v>#N/A</x:v>
      </x:c>
    </x:row>
    <x:row r="511">
      <x:c r="C511" s="16" t="e">
        <x:f>VLOOKUP(Tabla2[[#This Row],[CODIGO]],Taller2585[[Código]:[Descripción ]],2,0)</x:f>
        <x:v>#N/A</x:v>
      </x:c>
      <x:c r="D511" s="16" t="e">
        <x:f>VLOOKUP(Tabla2[[#This Row],[CODIGO]],Taller2585[[Código]:[Referencia]],3,0)</x:f>
        <x:v>#N/A</x:v>
      </x:c>
    </x:row>
    <x:row r="512">
      <x:c r="C512" s="16" t="e">
        <x:f>VLOOKUP(Tabla2[[#This Row],[CODIGO]],Taller2585[[Código]:[Descripción ]],2,0)</x:f>
        <x:v>#N/A</x:v>
      </x:c>
      <x:c r="D512" s="16" t="e">
        <x:f>VLOOKUP(Tabla2[[#This Row],[CODIGO]],Taller2585[[Código]:[Referencia]],3,0)</x:f>
        <x:v>#N/A</x:v>
      </x:c>
    </x:row>
    <x:row r="513">
      <x:c r="C513" s="16" t="e">
        <x:f>VLOOKUP(Tabla2[[#This Row],[CODIGO]],Taller2585[[Código]:[Descripción ]],2,0)</x:f>
        <x:v>#N/A</x:v>
      </x:c>
      <x:c r="D513" s="16" t="e">
        <x:f>VLOOKUP(Tabla2[[#This Row],[CODIGO]],Taller2585[[Código]:[Referencia]],3,0)</x:f>
        <x:v>#N/A</x:v>
      </x:c>
    </x:row>
    <x:row r="514">
      <x:c r="C514" s="16" t="e">
        <x:f>VLOOKUP(Tabla2[[#This Row],[CODIGO]],Taller2585[[Código]:[Descripción ]],2,0)</x:f>
        <x:v>#N/A</x:v>
      </x:c>
      <x:c r="D514" s="16" t="e">
        <x:f>VLOOKUP(Tabla2[[#This Row],[CODIGO]],Taller2585[[Código]:[Referencia]],3,0)</x:f>
        <x:v>#N/A</x:v>
      </x:c>
    </x:row>
    <x:row r="515">
      <x:c r="C515" s="16" t="e">
        <x:f>VLOOKUP(Tabla2[[#This Row],[CODIGO]],Taller2585[[Código]:[Descripción ]],2,0)</x:f>
        <x:v>#N/A</x:v>
      </x:c>
      <x:c r="D515" s="16" t="e">
        <x:f>VLOOKUP(Tabla2[[#This Row],[CODIGO]],Taller2585[[Código]:[Referencia]],3,0)</x:f>
        <x:v>#N/A</x:v>
      </x:c>
    </x:row>
    <x:row r="516">
      <x:c r="C516" s="16" t="e">
        <x:f>VLOOKUP(Tabla2[[#This Row],[CODIGO]],Taller2585[[Código]:[Descripción ]],2,0)</x:f>
        <x:v>#N/A</x:v>
      </x:c>
      <x:c r="D516" s="16" t="e">
        <x:f>VLOOKUP(Tabla2[[#This Row],[CODIGO]],Taller2585[[Código]:[Referencia]],3,0)</x:f>
        <x:v>#N/A</x:v>
      </x:c>
    </x:row>
    <x:row r="517">
      <x:c r="C517" s="16" t="e">
        <x:f>VLOOKUP(Tabla2[[#This Row],[CODIGO]],Taller2585[[Código]:[Descripción ]],2,0)</x:f>
        <x:v>#N/A</x:v>
      </x:c>
      <x:c r="D517" s="16" t="e">
        <x:f>VLOOKUP(Tabla2[[#This Row],[CODIGO]],Taller2585[[Código]:[Referencia]],3,0)</x:f>
        <x:v>#N/A</x:v>
      </x:c>
    </x:row>
    <x:row r="518">
      <x:c r="C518" s="16" t="e">
        <x:f>VLOOKUP(Tabla2[[#This Row],[CODIGO]],Taller2585[[Código]:[Descripción ]],2,0)</x:f>
        <x:v>#N/A</x:v>
      </x:c>
      <x:c r="D518" s="16" t="e">
        <x:f>VLOOKUP(Tabla2[[#This Row],[CODIGO]],Taller2585[[Código]:[Referencia]],3,0)</x:f>
        <x:v>#N/A</x:v>
      </x:c>
    </x:row>
    <x:row r="519">
      <x:c r="C519" s="16" t="e">
        <x:f>VLOOKUP(Tabla2[[#This Row],[CODIGO]],Taller2585[[Código]:[Descripción ]],2,0)</x:f>
        <x:v>#N/A</x:v>
      </x:c>
      <x:c r="D519" s="16" t="e">
        <x:f>VLOOKUP(Tabla2[[#This Row],[CODIGO]],Taller2585[[Código]:[Referencia]],3,0)</x:f>
        <x:v>#N/A</x:v>
      </x:c>
    </x:row>
    <x:row r="520">
      <x:c r="C520" s="16" t="e">
        <x:f>VLOOKUP(Tabla2[[#This Row],[CODIGO]],Taller2585[[Código]:[Descripción ]],2,0)</x:f>
        <x:v>#N/A</x:v>
      </x:c>
      <x:c r="D520" s="16" t="e">
        <x:f>VLOOKUP(Tabla2[[#This Row],[CODIGO]],Taller2585[[Código]:[Referencia]],3,0)</x:f>
        <x:v>#N/A</x:v>
      </x:c>
    </x:row>
    <x:row r="521">
      <x:c r="C521" s="16" t="e">
        <x:f>VLOOKUP(Tabla2[[#This Row],[CODIGO]],Taller2585[[Código]:[Descripción ]],2,0)</x:f>
        <x:v>#N/A</x:v>
      </x:c>
      <x:c r="D521" s="16" t="e">
        <x:f>VLOOKUP(Tabla2[[#This Row],[CODIGO]],Taller2585[[Código]:[Referencia]],3,0)</x:f>
        <x:v>#N/A</x:v>
      </x:c>
    </x:row>
    <x:row r="522">
      <x:c r="C522" s="16" t="e">
        <x:f>VLOOKUP(Tabla2[[#This Row],[CODIGO]],Taller2585[[Código]:[Descripción ]],2,0)</x:f>
        <x:v>#N/A</x:v>
      </x:c>
      <x:c r="D522" s="16" t="e">
        <x:f>VLOOKUP(Tabla2[[#This Row],[CODIGO]],Taller2585[[Código]:[Referencia]],3,0)</x:f>
        <x:v>#N/A</x:v>
      </x:c>
    </x:row>
    <x:row r="523">
      <x:c r="C523" s="16" t="e">
        <x:f>VLOOKUP(Tabla2[[#This Row],[CODIGO]],Taller2585[[Código]:[Descripción ]],2,0)</x:f>
        <x:v>#N/A</x:v>
      </x:c>
      <x:c r="D523" s="16" t="e">
        <x:f>VLOOKUP(Tabla2[[#This Row],[CODIGO]],Taller2585[[Código]:[Referencia]],3,0)</x:f>
        <x:v>#N/A</x:v>
      </x:c>
    </x:row>
    <x:row r="524">
      <x:c r="C524" s="16" t="e">
        <x:f>VLOOKUP(Tabla2[[#This Row],[CODIGO]],Taller2585[[Código]:[Descripción ]],2,0)</x:f>
        <x:v>#N/A</x:v>
      </x:c>
      <x:c r="D524" s="16" t="e">
        <x:f>VLOOKUP(Tabla2[[#This Row],[CODIGO]],Taller2585[[Código]:[Referencia]],3,0)</x:f>
        <x:v>#N/A</x:v>
      </x:c>
    </x:row>
    <x:row r="525">
      <x:c r="C525" s="16" t="e">
        <x:f>VLOOKUP(Tabla2[[#This Row],[CODIGO]],Taller2585[[Código]:[Descripción ]],2,0)</x:f>
        <x:v>#N/A</x:v>
      </x:c>
      <x:c r="D525" s="16" t="e">
        <x:f>VLOOKUP(Tabla2[[#This Row],[CODIGO]],Taller2585[[Código]:[Referencia]],3,0)</x:f>
        <x:v>#N/A</x:v>
      </x:c>
    </x:row>
    <x:row r="526">
      <x:c r="C526" s="16" t="e">
        <x:f>VLOOKUP(Tabla2[[#This Row],[CODIGO]],Taller2585[[Código]:[Descripción ]],2,0)</x:f>
        <x:v>#N/A</x:v>
      </x:c>
      <x:c r="D526" s="16" t="e">
        <x:f>VLOOKUP(Tabla2[[#This Row],[CODIGO]],Taller2585[[Código]:[Referencia]],3,0)</x:f>
        <x:v>#N/A</x:v>
      </x:c>
    </x:row>
    <x:row r="527">
      <x:c r="C527" s="16" t="e">
        <x:f>VLOOKUP(Tabla2[[#This Row],[CODIGO]],Taller2585[[Código]:[Descripción ]],2,0)</x:f>
        <x:v>#N/A</x:v>
      </x:c>
      <x:c r="D527" s="16" t="e">
        <x:f>VLOOKUP(Tabla2[[#This Row],[CODIGO]],Taller2585[[Código]:[Referencia]],3,0)</x:f>
        <x:v>#N/A</x:v>
      </x:c>
    </x:row>
    <x:row r="528">
      <x:c r="C528" s="16" t="e">
        <x:f>VLOOKUP(Tabla2[[#This Row],[CODIGO]],Taller2585[[Código]:[Descripción ]],2,0)</x:f>
        <x:v>#N/A</x:v>
      </x:c>
      <x:c r="D528" s="16" t="e">
        <x:f>VLOOKUP(Tabla2[[#This Row],[CODIGO]],Taller2585[[Código]:[Referencia]],3,0)</x:f>
        <x:v>#N/A</x:v>
      </x:c>
    </x:row>
    <x:row r="529">
      <x:c r="C529" s="16" t="e">
        <x:f>VLOOKUP(Tabla2[[#This Row],[CODIGO]],Taller2585[[Código]:[Descripción ]],2,0)</x:f>
        <x:v>#N/A</x:v>
      </x:c>
      <x:c r="D529" s="16" t="e">
        <x:f>VLOOKUP(Tabla2[[#This Row],[CODIGO]],Taller2585[[Código]:[Referencia]],3,0)</x:f>
        <x:v>#N/A</x:v>
      </x:c>
    </x:row>
    <x:row r="530">
      <x:c r="C530" s="16" t="e">
        <x:f>VLOOKUP(Tabla2[[#This Row],[CODIGO]],Taller2585[[Código]:[Descripción ]],2,0)</x:f>
        <x:v>#N/A</x:v>
      </x:c>
      <x:c r="D530" s="16" t="e">
        <x:f>VLOOKUP(Tabla2[[#This Row],[CODIGO]],Taller2585[[Código]:[Referencia]],3,0)</x:f>
        <x:v>#N/A</x:v>
      </x:c>
    </x:row>
    <x:row r="531">
      <x:c r="C531" s="16" t="e">
        <x:f>VLOOKUP(Tabla2[[#This Row],[CODIGO]],Taller2585[[Código]:[Descripción ]],2,0)</x:f>
        <x:v>#N/A</x:v>
      </x:c>
      <x:c r="D531" s="16" t="e">
        <x:f>VLOOKUP(Tabla2[[#This Row],[CODIGO]],Taller2585[[Código]:[Referencia]],3,0)</x:f>
        <x:v>#N/A</x:v>
      </x:c>
    </x:row>
    <x:row r="532">
      <x:c r="C532" s="16" t="e">
        <x:f>VLOOKUP(Tabla2[[#This Row],[CODIGO]],Taller2585[[Código]:[Descripción ]],2,0)</x:f>
        <x:v>#N/A</x:v>
      </x:c>
      <x:c r="D532" s="16" t="e">
        <x:f>VLOOKUP(Tabla2[[#This Row],[CODIGO]],Taller2585[[Código]:[Referencia]],3,0)</x:f>
        <x:v>#N/A</x:v>
      </x:c>
    </x:row>
    <x:row r="533">
      <x:c r="C533" s="16" t="e">
        <x:f>VLOOKUP(Tabla2[[#This Row],[CODIGO]],Taller2585[[Código]:[Descripción ]],2,0)</x:f>
        <x:v>#N/A</x:v>
      </x:c>
      <x:c r="D533" s="16" t="e">
        <x:f>VLOOKUP(Tabla2[[#This Row],[CODIGO]],Taller2585[[Código]:[Referencia]],3,0)</x:f>
        <x:v>#N/A</x:v>
      </x:c>
    </x:row>
    <x:row r="534">
      <x:c r="C534" s="16" t="e">
        <x:f>VLOOKUP(Tabla2[[#This Row],[CODIGO]],Taller2585[[Código]:[Descripción ]],2,0)</x:f>
        <x:v>#N/A</x:v>
      </x:c>
      <x:c r="D534" s="16" t="e">
        <x:f>VLOOKUP(Tabla2[[#This Row],[CODIGO]],Taller2585[[Código]:[Referencia]],3,0)</x:f>
        <x:v>#N/A</x:v>
      </x:c>
    </x:row>
    <x:row r="535">
      <x:c r="C535" s="16" t="e">
        <x:f>VLOOKUP(Tabla2[[#This Row],[CODIGO]],Taller2585[[Código]:[Descripción ]],2,0)</x:f>
        <x:v>#N/A</x:v>
      </x:c>
      <x:c r="D535" s="16" t="e">
        <x:f>VLOOKUP(Tabla2[[#This Row],[CODIGO]],Taller2585[[Código]:[Referencia]],3,0)</x:f>
        <x:v>#N/A</x:v>
      </x:c>
    </x:row>
    <x:row r="536">
      <x:c r="C536" s="16" t="e">
        <x:f>VLOOKUP(Tabla2[[#This Row],[CODIGO]],Taller2585[[Código]:[Descripción ]],2,0)</x:f>
        <x:v>#N/A</x:v>
      </x:c>
      <x:c r="D536" s="16" t="e">
        <x:f>VLOOKUP(Tabla2[[#This Row],[CODIGO]],Taller2585[[Código]:[Referencia]],3,0)</x:f>
        <x:v>#N/A</x:v>
      </x:c>
    </x:row>
    <x:row r="537">
      <x:c r="C537" s="16" t="e">
        <x:f>VLOOKUP(Tabla2[[#This Row],[CODIGO]],Taller2585[[Código]:[Descripción ]],2,0)</x:f>
        <x:v>#N/A</x:v>
      </x:c>
      <x:c r="D537" s="16" t="e">
        <x:f>VLOOKUP(Tabla2[[#This Row],[CODIGO]],Taller2585[[Código]:[Referencia]],3,0)</x:f>
        <x:v>#N/A</x:v>
      </x:c>
    </x:row>
    <x:row r="538">
      <x:c r="C538" s="16" t="e">
        <x:f>VLOOKUP(Tabla2[[#This Row],[CODIGO]],Taller2585[[Código]:[Descripción ]],2,0)</x:f>
        <x:v>#N/A</x:v>
      </x:c>
      <x:c r="D538" s="16" t="e">
        <x:f>VLOOKUP(Tabla2[[#This Row],[CODIGO]],Taller2585[[Código]:[Referencia]],3,0)</x:f>
        <x:v>#N/A</x:v>
      </x:c>
    </x:row>
    <x:row r="539">
      <x:c r="C539" s="16" t="e">
        <x:f>VLOOKUP(Tabla2[[#This Row],[CODIGO]],Taller2585[[Código]:[Descripción ]],2,0)</x:f>
        <x:v>#N/A</x:v>
      </x:c>
      <x:c r="D539" s="16" t="e">
        <x:f>VLOOKUP(Tabla2[[#This Row],[CODIGO]],Taller2585[[Código]:[Referencia]],3,0)</x:f>
        <x:v>#N/A</x:v>
      </x:c>
    </x:row>
    <x:row r="540">
      <x:c r="C540" s="16" t="e">
        <x:f>VLOOKUP(Tabla2[[#This Row],[CODIGO]],Taller2585[[Código]:[Descripción ]],2,0)</x:f>
        <x:v>#N/A</x:v>
      </x:c>
      <x:c r="D540" s="16" t="e">
        <x:f>VLOOKUP(Tabla2[[#This Row],[CODIGO]],Taller2585[[Código]:[Referencia]],3,0)</x:f>
        <x:v>#N/A</x:v>
      </x:c>
    </x:row>
    <x:row r="541">
      <x:c r="C541" s="16" t="e">
        <x:f>VLOOKUP(Tabla2[[#This Row],[CODIGO]],Taller2585[[Código]:[Descripción ]],2,0)</x:f>
        <x:v>#N/A</x:v>
      </x:c>
      <x:c r="D541" s="16" t="e">
        <x:f>VLOOKUP(Tabla2[[#This Row],[CODIGO]],Taller2585[[Código]:[Referencia]],3,0)</x:f>
        <x:v>#N/A</x:v>
      </x:c>
    </x:row>
    <x:row r="542">
      <x:c r="C542" s="16" t="e">
        <x:f>VLOOKUP(Tabla2[[#This Row],[CODIGO]],Taller2585[[Código]:[Descripción ]],2,0)</x:f>
        <x:v>#N/A</x:v>
      </x:c>
      <x:c r="D542" s="16" t="e">
        <x:f>VLOOKUP(Tabla2[[#This Row],[CODIGO]],Taller2585[[Código]:[Referencia]],3,0)</x:f>
        <x:v>#N/A</x:v>
      </x:c>
    </x:row>
    <x:row r="543">
      <x:c r="C543" s="16" t="e">
        <x:f>VLOOKUP(Tabla2[[#This Row],[CODIGO]],Taller2585[[Código]:[Descripción ]],2,0)</x:f>
        <x:v>#N/A</x:v>
      </x:c>
      <x:c r="D543" s="16" t="e">
        <x:f>VLOOKUP(Tabla2[[#This Row],[CODIGO]],Taller2585[[Código]:[Referencia]],3,0)</x:f>
        <x:v>#N/A</x:v>
      </x:c>
    </x:row>
    <x:row r="544">
      <x:c r="C544" s="16" t="e">
        <x:f>VLOOKUP(Tabla2[[#This Row],[CODIGO]],Taller2585[[Código]:[Descripción ]],2,0)</x:f>
        <x:v>#N/A</x:v>
      </x:c>
      <x:c r="D544" s="16" t="e">
        <x:f>VLOOKUP(Tabla2[[#This Row],[CODIGO]],Taller2585[[Código]:[Referencia]],3,0)</x:f>
        <x:v>#N/A</x:v>
      </x:c>
    </x:row>
    <x:row r="545">
      <x:c r="C545" s="16" t="e">
        <x:f>VLOOKUP(Tabla2[[#This Row],[CODIGO]],Taller2585[[Código]:[Descripción ]],2,0)</x:f>
        <x:v>#N/A</x:v>
      </x:c>
      <x:c r="D545" s="16" t="e">
        <x:f>VLOOKUP(Tabla2[[#This Row],[CODIGO]],Taller2585[[Código]:[Referencia]],3,0)</x:f>
        <x:v>#N/A</x:v>
      </x:c>
    </x:row>
    <x:row r="546">
      <x:c r="C546" s="16" t="e">
        <x:f>VLOOKUP(Tabla2[[#This Row],[CODIGO]],Taller2585[[Código]:[Descripción ]],2,0)</x:f>
        <x:v>#N/A</x:v>
      </x:c>
      <x:c r="D546" s="16" t="e">
        <x:f>VLOOKUP(Tabla2[[#This Row],[CODIGO]],Taller2585[[Código]:[Referencia]],3,0)</x:f>
        <x:v>#N/A</x:v>
      </x:c>
    </x:row>
    <x:row r="547">
      <x:c r="C547" s="16" t="e">
        <x:f>VLOOKUP(Tabla2[[#This Row],[CODIGO]],Taller2585[[Código]:[Descripción ]],2,0)</x:f>
        <x:v>#N/A</x:v>
      </x:c>
      <x:c r="D547" s="16" t="e">
        <x:f>VLOOKUP(Tabla2[[#This Row],[CODIGO]],Taller2585[[Código]:[Referencia]],3,0)</x:f>
        <x:v>#N/A</x:v>
      </x:c>
    </x:row>
    <x:row r="548">
      <x:c r="C548" s="16" t="e">
        <x:f>VLOOKUP(Tabla2[[#This Row],[CODIGO]],Taller2585[[Código]:[Descripción ]],2,0)</x:f>
        <x:v>#N/A</x:v>
      </x:c>
      <x:c r="D548" s="16" t="e">
        <x:f>VLOOKUP(Tabla2[[#This Row],[CODIGO]],Taller2585[[Código]:[Referencia]],3,0)</x:f>
        <x:v>#N/A</x:v>
      </x:c>
    </x:row>
    <x:row r="549">
      <x:c r="C549" s="16" t="e">
        <x:f>VLOOKUP(Tabla2[[#This Row],[CODIGO]],Taller2585[[Código]:[Descripción ]],2,0)</x:f>
        <x:v>#N/A</x:v>
      </x:c>
      <x:c r="D549" s="16" t="e">
        <x:f>VLOOKUP(Tabla2[[#This Row],[CODIGO]],Taller2585[[Código]:[Referencia]],3,0)</x:f>
        <x:v>#N/A</x:v>
      </x:c>
    </x:row>
    <x:row r="550">
      <x:c r="C550" s="16" t="e">
        <x:f>VLOOKUP(Tabla2[[#This Row],[CODIGO]],Taller2585[[Código]:[Descripción ]],2,0)</x:f>
        <x:v>#N/A</x:v>
      </x:c>
      <x:c r="D550" s="16" t="e">
        <x:f>VLOOKUP(Tabla2[[#This Row],[CODIGO]],Taller2585[[Código]:[Referencia]],3,0)</x:f>
        <x:v>#N/A</x:v>
      </x:c>
    </x:row>
    <x:row r="551">
      <x:c r="C551" s="16" t="e">
        <x:f>VLOOKUP(Tabla2[[#This Row],[CODIGO]],Taller2585[[Código]:[Descripción ]],2,0)</x:f>
        <x:v>#N/A</x:v>
      </x:c>
      <x:c r="D551" s="16" t="e">
        <x:f>VLOOKUP(Tabla2[[#This Row],[CODIGO]],Taller2585[[Código]:[Referencia]],3,0)</x:f>
        <x:v>#N/A</x:v>
      </x:c>
    </x:row>
    <x:row r="552">
      <x:c r="C552" s="16" t="e">
        <x:f>VLOOKUP(Tabla2[[#This Row],[CODIGO]],Taller2585[[Código]:[Descripción ]],2,0)</x:f>
        <x:v>#N/A</x:v>
      </x:c>
      <x:c r="D552" s="16" t="e">
        <x:f>VLOOKUP(Tabla2[[#This Row],[CODIGO]],Taller2585[[Código]:[Referencia]],3,0)</x:f>
        <x:v>#N/A</x:v>
      </x:c>
    </x:row>
    <x:row r="553">
      <x:c r="C553" s="16" t="e">
        <x:f>VLOOKUP(Tabla2[[#This Row],[CODIGO]],Taller2585[[Código]:[Descripción ]],2,0)</x:f>
        <x:v>#N/A</x:v>
      </x:c>
      <x:c r="D553" s="16" t="e">
        <x:f>VLOOKUP(Tabla2[[#This Row],[CODIGO]],Taller2585[[Código]:[Referencia]],3,0)</x:f>
        <x:v>#N/A</x:v>
      </x:c>
    </x:row>
    <x:row r="554">
      <x:c r="C554" s="16" t="e">
        <x:f>VLOOKUP(Tabla2[[#This Row],[CODIGO]],Taller2585[[Código]:[Descripción ]],2,0)</x:f>
        <x:v>#N/A</x:v>
      </x:c>
      <x:c r="D554" s="16" t="e">
        <x:f>VLOOKUP(Tabla2[[#This Row],[CODIGO]],Taller2585[[Código]:[Referencia]],3,0)</x:f>
        <x:v>#N/A</x:v>
      </x:c>
    </x:row>
    <x:row r="555">
      <x:c r="C555" s="16" t="e">
        <x:f>VLOOKUP(Tabla2[[#This Row],[CODIGO]],Taller2585[[Código]:[Descripción ]],2,0)</x:f>
        <x:v>#N/A</x:v>
      </x:c>
      <x:c r="D555" s="16" t="e">
        <x:f>VLOOKUP(Tabla2[[#This Row],[CODIGO]],Taller2585[[Código]:[Referencia]],3,0)</x:f>
        <x:v>#N/A</x:v>
      </x:c>
    </x:row>
    <x:row r="556">
      <x:c r="C556" s="16" t="e">
        <x:f>VLOOKUP(Tabla2[[#This Row],[CODIGO]],Taller2585[[Código]:[Descripción ]],2,0)</x:f>
        <x:v>#N/A</x:v>
      </x:c>
      <x:c r="D556" s="16" t="e">
        <x:f>VLOOKUP(Tabla2[[#This Row],[CODIGO]],Taller2585[[Código]:[Referencia]],3,0)</x:f>
        <x:v>#N/A</x:v>
      </x:c>
    </x:row>
    <x:row r="557">
      <x:c r="C557" s="16" t="e">
        <x:f>VLOOKUP(Tabla2[[#This Row],[CODIGO]],Taller2585[[Código]:[Descripción ]],2,0)</x:f>
        <x:v>#N/A</x:v>
      </x:c>
      <x:c r="D557" s="16" t="e">
        <x:f>VLOOKUP(Tabla2[[#This Row],[CODIGO]],Taller2585[[Código]:[Referencia]],3,0)</x:f>
        <x:v>#N/A</x:v>
      </x:c>
    </x:row>
    <x:row r="558">
      <x:c r="C558" s="16" t="e">
        <x:f>VLOOKUP(Tabla2[[#This Row],[CODIGO]],Taller2585[[Código]:[Descripción ]],2,0)</x:f>
        <x:v>#N/A</x:v>
      </x:c>
      <x:c r="D558" s="16" t="e">
        <x:f>VLOOKUP(Tabla2[[#This Row],[CODIGO]],Taller2585[[Código]:[Referencia]],3,0)</x:f>
        <x:v>#N/A</x:v>
      </x:c>
    </x:row>
    <x:row r="559">
      <x:c r="C559" s="16" t="e">
        <x:f>VLOOKUP(Tabla2[[#This Row],[CODIGO]],Taller2585[[Código]:[Descripción ]],2,0)</x:f>
        <x:v>#N/A</x:v>
      </x:c>
      <x:c r="D559" s="16" t="e">
        <x:f>VLOOKUP(Tabla2[[#This Row],[CODIGO]],Taller2585[[Código]:[Referencia]],3,0)</x:f>
        <x:v>#N/A</x:v>
      </x:c>
    </x:row>
    <x:row r="560">
      <x:c r="C560" s="16" t="e">
        <x:f>VLOOKUP(Tabla2[[#This Row],[CODIGO]],Taller2585[[Código]:[Descripción ]],2,0)</x:f>
        <x:v>#N/A</x:v>
      </x:c>
      <x:c r="D560" s="16" t="e">
        <x:f>VLOOKUP(Tabla2[[#This Row],[CODIGO]],Taller2585[[Código]:[Referencia]],3,0)</x:f>
        <x:v>#N/A</x:v>
      </x:c>
    </x:row>
    <x:row r="561">
      <x:c r="C561" s="16" t="e">
        <x:f>VLOOKUP(Tabla2[[#This Row],[CODIGO]],Taller2585[[Código]:[Descripción ]],2,0)</x:f>
        <x:v>#N/A</x:v>
      </x:c>
      <x:c r="D561" s="16" t="e">
        <x:f>VLOOKUP(Tabla2[[#This Row],[CODIGO]],Taller2585[[Código]:[Referencia]],3,0)</x:f>
        <x:v>#N/A</x:v>
      </x:c>
    </x:row>
    <x:row r="562">
      <x:c r="C562" s="16" t="e">
        <x:f>VLOOKUP(Tabla2[[#This Row],[CODIGO]],Taller2585[[Código]:[Descripción ]],2,0)</x:f>
        <x:v>#N/A</x:v>
      </x:c>
      <x:c r="D562" s="16" t="e">
        <x:f>VLOOKUP(Tabla2[[#This Row],[CODIGO]],Taller2585[[Código]:[Referencia]],3,0)</x:f>
        <x:v>#N/A</x:v>
      </x:c>
    </x:row>
    <x:row r="563">
      <x:c r="C563" s="16" t="e">
        <x:f>VLOOKUP(Tabla2[[#This Row],[CODIGO]],Taller2585[[Código]:[Descripción ]],2,0)</x:f>
        <x:v>#N/A</x:v>
      </x:c>
      <x:c r="D563" s="16" t="e">
        <x:f>VLOOKUP(Tabla2[[#This Row],[CODIGO]],Taller2585[[Código]:[Referencia]],3,0)</x:f>
        <x:v>#N/A</x:v>
      </x:c>
    </x:row>
    <x:row r="564">
      <x:c r="C564" s="16" t="e">
        <x:f>VLOOKUP(Tabla2[[#This Row],[CODIGO]],Taller2585[[Código]:[Descripción ]],2,0)</x:f>
        <x:v>#N/A</x:v>
      </x:c>
      <x:c r="D564" s="16" t="e">
        <x:f>VLOOKUP(Tabla2[[#This Row],[CODIGO]],Taller2585[[Código]:[Referencia]],3,0)</x:f>
        <x:v>#N/A</x:v>
      </x:c>
    </x:row>
    <x:row r="565">
      <x:c r="C565" s="16" t="e">
        <x:f>VLOOKUP(Tabla2[[#This Row],[CODIGO]],Taller2585[[Código]:[Descripción ]],2,0)</x:f>
        <x:v>#N/A</x:v>
      </x:c>
      <x:c r="D565" s="16" t="e">
        <x:f>VLOOKUP(Tabla2[[#This Row],[CODIGO]],Taller2585[[Código]:[Referencia]],3,0)</x:f>
        <x:v>#N/A</x:v>
      </x:c>
    </x:row>
    <x:row r="566">
      <x:c r="C566" s="16" t="e">
        <x:f>VLOOKUP(Tabla2[[#This Row],[CODIGO]],Taller2585[[Código]:[Descripción ]],2,0)</x:f>
        <x:v>#N/A</x:v>
      </x:c>
      <x:c r="D566" s="16" t="e">
        <x:f>VLOOKUP(Tabla2[[#This Row],[CODIGO]],Taller2585[[Código]:[Referencia]],3,0)</x:f>
        <x:v>#N/A</x:v>
      </x:c>
    </x:row>
    <x:row r="567">
      <x:c r="C567" s="16" t="e">
        <x:f>VLOOKUP(Tabla2[[#This Row],[CODIGO]],Taller2585[[Código]:[Descripción ]],2,0)</x:f>
        <x:v>#N/A</x:v>
      </x:c>
      <x:c r="D567" s="16" t="e">
        <x:f>VLOOKUP(Tabla2[[#This Row],[CODIGO]],Taller2585[[Código]:[Referencia]],3,0)</x:f>
        <x:v>#N/A</x:v>
      </x:c>
    </x:row>
    <x:row r="568">
      <x:c r="C568" s="16" t="e">
        <x:f>VLOOKUP(Tabla2[[#This Row],[CODIGO]],Taller2585[[Código]:[Descripción ]],2,0)</x:f>
        <x:v>#N/A</x:v>
      </x:c>
      <x:c r="D568" s="16" t="e">
        <x:f>VLOOKUP(Tabla2[[#This Row],[CODIGO]],Taller2585[[Código]:[Referencia]],3,0)</x:f>
        <x:v>#N/A</x:v>
      </x:c>
    </x:row>
    <x:row r="569">
      <x:c r="C569" s="16" t="e">
        <x:f>VLOOKUP(Tabla2[[#This Row],[CODIGO]],Taller2585[[Código]:[Descripción ]],2,0)</x:f>
        <x:v>#N/A</x:v>
      </x:c>
      <x:c r="D569" s="16" t="e">
        <x:f>VLOOKUP(Tabla2[[#This Row],[CODIGO]],Taller2585[[Código]:[Referencia]],3,0)</x:f>
        <x:v>#N/A</x:v>
      </x:c>
    </x:row>
    <x:row r="570">
      <x:c r="C570" s="16" t="e">
        <x:f>VLOOKUP(Tabla2[[#This Row],[CODIGO]],Taller2585[[Código]:[Descripción ]],2,0)</x:f>
        <x:v>#N/A</x:v>
      </x:c>
      <x:c r="D570" s="16" t="e">
        <x:f>VLOOKUP(Tabla2[[#This Row],[CODIGO]],Taller2585[[Código]:[Referencia]],3,0)</x:f>
        <x:v>#N/A</x:v>
      </x:c>
    </x:row>
    <x:row r="571">
      <x:c r="C571" s="16" t="e">
        <x:f>VLOOKUP(Tabla2[[#This Row],[CODIGO]],Taller2585[[Código]:[Descripción ]],2,0)</x:f>
        <x:v>#N/A</x:v>
      </x:c>
      <x:c r="D571" s="16" t="e">
        <x:f>VLOOKUP(Tabla2[[#This Row],[CODIGO]],Taller2585[[Código]:[Referencia]],3,0)</x:f>
        <x:v>#N/A</x:v>
      </x:c>
    </x:row>
    <x:row r="572">
      <x:c r="C572" s="16" t="e">
        <x:f>VLOOKUP(Tabla2[[#This Row],[CODIGO]],Taller2585[[Código]:[Descripción ]],2,0)</x:f>
        <x:v>#N/A</x:v>
      </x:c>
      <x:c r="D572" s="16" t="e">
        <x:f>VLOOKUP(Tabla2[[#This Row],[CODIGO]],Taller2585[[Código]:[Referencia]],3,0)</x:f>
        <x:v>#N/A</x:v>
      </x:c>
    </x:row>
    <x:row r="573">
      <x:c r="C573" s="16" t="e">
        <x:f>VLOOKUP(Tabla2[[#This Row],[CODIGO]],Taller2585[[Código]:[Descripción ]],2,0)</x:f>
        <x:v>#N/A</x:v>
      </x:c>
      <x:c r="D573" s="16" t="e">
        <x:f>VLOOKUP(Tabla2[[#This Row],[CODIGO]],Taller2585[[Código]:[Referencia]],3,0)</x:f>
        <x:v>#N/A</x:v>
      </x:c>
    </x:row>
    <x:row r="574">
      <x:c r="C574" s="16" t="e">
        <x:f>VLOOKUP(Tabla2[[#This Row],[CODIGO]],Taller2585[[Código]:[Descripción ]],2,0)</x:f>
        <x:v>#N/A</x:v>
      </x:c>
      <x:c r="D574" s="16" t="e">
        <x:f>VLOOKUP(Tabla2[[#This Row],[CODIGO]],Taller2585[[Código]:[Referencia]],3,0)</x:f>
        <x:v>#N/A</x:v>
      </x:c>
    </x:row>
    <x:row r="575">
      <x:c r="C575" s="16" t="e">
        <x:f>VLOOKUP(Tabla2[[#This Row],[CODIGO]],Taller2585[[Código]:[Descripción ]],2,0)</x:f>
        <x:v>#N/A</x:v>
      </x:c>
      <x:c r="D575" s="16" t="e">
        <x:f>VLOOKUP(Tabla2[[#This Row],[CODIGO]],Taller2585[[Código]:[Referencia]],3,0)</x:f>
        <x:v>#N/A</x:v>
      </x:c>
    </x:row>
    <x:row r="576">
      <x:c r="C576" s="16" t="e">
        <x:f>VLOOKUP(Tabla2[[#This Row],[CODIGO]],Taller2585[[Código]:[Descripción ]],2,0)</x:f>
        <x:v>#N/A</x:v>
      </x:c>
      <x:c r="D576" s="16" t="e">
        <x:f>VLOOKUP(Tabla2[[#This Row],[CODIGO]],Taller2585[[Código]:[Referencia]],3,0)</x:f>
        <x:v>#N/A</x:v>
      </x:c>
    </x:row>
    <x:row r="577">
      <x:c r="C577" s="16" t="e">
        <x:f>VLOOKUP(Tabla2[[#This Row],[CODIGO]],Taller2585[[Código]:[Descripción ]],2,0)</x:f>
        <x:v>#N/A</x:v>
      </x:c>
      <x:c r="D577" s="16" t="e">
        <x:f>VLOOKUP(Tabla2[[#This Row],[CODIGO]],Taller2585[[Código]:[Referencia]],3,0)</x:f>
        <x:v>#N/A</x:v>
      </x:c>
    </x:row>
    <x:row r="578">
      <x:c r="C578" s="16" t="e">
        <x:f>VLOOKUP(Tabla2[[#This Row],[CODIGO]],Taller2585[[Código]:[Descripción ]],2,0)</x:f>
        <x:v>#N/A</x:v>
      </x:c>
      <x:c r="D578" s="16" t="e">
        <x:f>VLOOKUP(Tabla2[[#This Row],[CODIGO]],Taller2585[[Código]:[Referencia]],3,0)</x:f>
        <x:v>#N/A</x:v>
      </x:c>
    </x:row>
    <x:row r="579">
      <x:c r="C579" s="16" t="e">
        <x:f>VLOOKUP(Tabla2[[#This Row],[CODIGO]],Taller2585[[Código]:[Descripción ]],2,0)</x:f>
        <x:v>#N/A</x:v>
      </x:c>
      <x:c r="D579" s="16" t="e">
        <x:f>VLOOKUP(Tabla2[[#This Row],[CODIGO]],Taller2585[[Código]:[Referencia]],3,0)</x:f>
        <x:v>#N/A</x:v>
      </x:c>
    </x:row>
    <x:row r="580">
      <x:c r="C580" s="16" t="e">
        <x:f>VLOOKUP(Tabla2[[#This Row],[CODIGO]],Taller2585[[Código]:[Descripción ]],2,0)</x:f>
        <x:v>#N/A</x:v>
      </x:c>
      <x:c r="D580" s="16" t="e">
        <x:f>VLOOKUP(Tabla2[[#This Row],[CODIGO]],Taller2585[[Código]:[Referencia]],3,0)</x:f>
        <x:v>#N/A</x:v>
      </x:c>
    </x:row>
    <x:row r="581">
      <x:c r="C581" s="16" t="e">
        <x:f>VLOOKUP(Tabla2[[#This Row],[CODIGO]],Taller2585[[Código]:[Descripción ]],2,0)</x:f>
        <x:v>#N/A</x:v>
      </x:c>
      <x:c r="D581" s="16" t="e">
        <x:f>VLOOKUP(Tabla2[[#This Row],[CODIGO]],Taller2585[[Código]:[Referencia]],3,0)</x:f>
        <x:v>#N/A</x:v>
      </x:c>
    </x:row>
    <x:row r="582">
      <x:c r="C582" s="16" t="e">
        <x:f>VLOOKUP(Tabla2[[#This Row],[CODIGO]],Taller2585[[Código]:[Descripción ]],2,0)</x:f>
        <x:v>#N/A</x:v>
      </x:c>
      <x:c r="D582" s="16" t="e">
        <x:f>VLOOKUP(Tabla2[[#This Row],[CODIGO]],Taller2585[[Código]:[Referencia]],3,0)</x:f>
        <x:v>#N/A</x:v>
      </x:c>
    </x:row>
    <x:row r="583">
      <x:c r="C583" s="16" t="e">
        <x:f>VLOOKUP(Tabla2[[#This Row],[CODIGO]],Taller2585[[Código]:[Descripción ]],2,0)</x:f>
        <x:v>#N/A</x:v>
      </x:c>
      <x:c r="D583" s="16" t="e">
        <x:f>VLOOKUP(Tabla2[[#This Row],[CODIGO]],Taller2585[[Código]:[Referencia]],3,0)</x:f>
        <x:v>#N/A</x:v>
      </x:c>
    </x:row>
    <x:row r="584">
      <x:c r="C584" s="16" t="e">
        <x:f>VLOOKUP(Tabla2[[#This Row],[CODIGO]],Taller2585[[Código]:[Descripción ]],2,0)</x:f>
        <x:v>#N/A</x:v>
      </x:c>
      <x:c r="D584" s="16" t="e">
        <x:f>VLOOKUP(Tabla2[[#This Row],[CODIGO]],Taller2585[[Código]:[Referencia]],3,0)</x:f>
        <x:v>#N/A</x:v>
      </x:c>
    </x:row>
    <x:row r="585">
      <x:c r="C585" s="16" t="e">
        <x:f>VLOOKUP(Tabla2[[#This Row],[CODIGO]],Taller2585[[Código]:[Descripción ]],2,0)</x:f>
        <x:v>#N/A</x:v>
      </x:c>
      <x:c r="D585" s="16" t="e">
        <x:f>VLOOKUP(Tabla2[[#This Row],[CODIGO]],Taller2585[[Código]:[Referencia]],3,0)</x:f>
        <x:v>#N/A</x:v>
      </x:c>
    </x:row>
    <x:row r="586">
      <x:c r="C586" s="16" t="e">
        <x:f>VLOOKUP(Tabla2[[#This Row],[CODIGO]],Taller2585[[Código]:[Descripción ]],2,0)</x:f>
        <x:v>#N/A</x:v>
      </x:c>
      <x:c r="D586" s="16" t="e">
        <x:f>VLOOKUP(Tabla2[[#This Row],[CODIGO]],Taller2585[[Código]:[Referencia]],3,0)</x:f>
        <x:v>#N/A</x:v>
      </x:c>
    </x:row>
    <x:row r="587">
      <x:c r="C587" s="16" t="e">
        <x:f>VLOOKUP(Tabla2[[#This Row],[CODIGO]],Taller2585[[Código]:[Descripción ]],2,0)</x:f>
        <x:v>#N/A</x:v>
      </x:c>
      <x:c r="D587" s="16" t="e">
        <x:f>VLOOKUP(Tabla2[[#This Row],[CODIGO]],Taller2585[[Código]:[Referencia]],3,0)</x:f>
        <x:v>#N/A</x:v>
      </x:c>
    </x:row>
    <x:row r="588">
      <x:c r="C588" s="16" t="e">
        <x:f>VLOOKUP(Tabla2[[#This Row],[CODIGO]],Taller2585[[Código]:[Descripción ]],2,0)</x:f>
        <x:v>#N/A</x:v>
      </x:c>
      <x:c r="D588" s="16" t="e">
        <x:f>VLOOKUP(Tabla2[[#This Row],[CODIGO]],Taller2585[[Código]:[Referencia]],3,0)</x:f>
        <x:v>#N/A</x:v>
      </x:c>
    </x:row>
    <x:row r="589">
      <x:c r="C589" s="16" t="e">
        <x:f>VLOOKUP(Tabla2[[#This Row],[CODIGO]],Taller2585[[Código]:[Descripción ]],2,0)</x:f>
        <x:v>#N/A</x:v>
      </x:c>
      <x:c r="D589" s="16" t="e">
        <x:f>VLOOKUP(Tabla2[[#This Row],[CODIGO]],Taller2585[[Código]:[Referencia]],3,0)</x:f>
        <x:v>#N/A</x:v>
      </x:c>
    </x:row>
    <x:row r="590">
      <x:c r="C590" s="16" t="e">
        <x:f>VLOOKUP(Tabla2[[#This Row],[CODIGO]],Taller2585[[Código]:[Descripción ]],2,0)</x:f>
        <x:v>#N/A</x:v>
      </x:c>
      <x:c r="D590" s="16" t="e">
        <x:f>VLOOKUP(Tabla2[[#This Row],[CODIGO]],Taller2585[[Código]:[Referencia]],3,0)</x:f>
        <x:v>#N/A</x:v>
      </x:c>
    </x:row>
    <x:row r="591">
      <x:c r="C591" s="16" t="e">
        <x:f>VLOOKUP(Tabla2[[#This Row],[CODIGO]],Taller2585[[Código]:[Descripción ]],2,0)</x:f>
        <x:v>#N/A</x:v>
      </x:c>
      <x:c r="D591" s="16" t="e">
        <x:f>VLOOKUP(Tabla2[[#This Row],[CODIGO]],Taller2585[[Código]:[Referencia]],3,0)</x:f>
        <x:v>#N/A</x:v>
      </x:c>
    </x:row>
    <x:row r="592">
      <x:c r="C592" s="16" t="e">
        <x:f>VLOOKUP(Tabla2[[#This Row],[CODIGO]],Taller2585[[Código]:[Descripción ]],2,0)</x:f>
        <x:v>#N/A</x:v>
      </x:c>
      <x:c r="D592" s="16" t="e">
        <x:f>VLOOKUP(Tabla2[[#This Row],[CODIGO]],Taller2585[[Código]:[Referencia]],3,0)</x:f>
        <x:v>#N/A</x:v>
      </x:c>
    </x:row>
    <x:row r="593">
      <x:c r="C593" s="16" t="e">
        <x:f>VLOOKUP(Tabla2[[#This Row],[CODIGO]],Taller2585[[Código]:[Descripción ]],2,0)</x:f>
        <x:v>#N/A</x:v>
      </x:c>
      <x:c r="D593" s="16" t="e">
        <x:f>VLOOKUP(Tabla2[[#This Row],[CODIGO]],Taller2585[[Código]:[Referencia]],3,0)</x:f>
        <x:v>#N/A</x:v>
      </x:c>
    </x:row>
    <x:row r="594">
      <x:c r="C594" s="16" t="e">
        <x:f>VLOOKUP(Tabla2[[#This Row],[CODIGO]],Taller2585[[Código]:[Descripción ]],2,0)</x:f>
        <x:v>#N/A</x:v>
      </x:c>
      <x:c r="D594" s="16" t="e">
        <x:f>VLOOKUP(Tabla2[[#This Row],[CODIGO]],Taller2585[[Código]:[Referencia]],3,0)</x:f>
        <x:v>#N/A</x:v>
      </x:c>
    </x:row>
    <x:row r="595">
      <x:c r="C595" s="16" t="e">
        <x:f>VLOOKUP(Tabla2[[#This Row],[CODIGO]],Taller2585[[Código]:[Descripción ]],2,0)</x:f>
        <x:v>#N/A</x:v>
      </x:c>
      <x:c r="D595" s="16" t="e">
        <x:f>VLOOKUP(Tabla2[[#This Row],[CODIGO]],Taller2585[[Código]:[Referencia]],3,0)</x:f>
        <x:v>#N/A</x:v>
      </x:c>
    </x:row>
    <x:row r="596">
      <x:c r="C596" s="16" t="e">
        <x:f>VLOOKUP(Tabla2[[#This Row],[CODIGO]],Taller2585[[Código]:[Descripción ]],2,0)</x:f>
        <x:v>#N/A</x:v>
      </x:c>
      <x:c r="D596" s="16" t="e">
        <x:f>VLOOKUP(Tabla2[[#This Row],[CODIGO]],Taller2585[[Código]:[Referencia]],3,0)</x:f>
        <x:v>#N/A</x:v>
      </x:c>
    </x:row>
    <x:row r="597">
      <x:c r="C597" s="16" t="e">
        <x:f>VLOOKUP(Tabla2[[#This Row],[CODIGO]],Taller2585[[Código]:[Descripción ]],2,0)</x:f>
        <x:v>#N/A</x:v>
      </x:c>
      <x:c r="D597" s="16" t="e">
        <x:f>VLOOKUP(Tabla2[[#This Row],[CODIGO]],Taller2585[[Código]:[Referencia]],3,0)</x:f>
        <x:v>#N/A</x:v>
      </x:c>
    </x:row>
    <x:row r="598">
      <x:c r="C598" s="16" t="e">
        <x:f>VLOOKUP(Tabla2[[#This Row],[CODIGO]],Taller2585[[Código]:[Descripción ]],2,0)</x:f>
        <x:v>#N/A</x:v>
      </x:c>
      <x:c r="D598" s="16" t="e">
        <x:f>VLOOKUP(Tabla2[[#This Row],[CODIGO]],Taller2585[[Código]:[Referencia]],3,0)</x:f>
        <x:v>#N/A</x:v>
      </x:c>
    </x:row>
    <x:row r="599">
      <x:c r="C599" s="16" t="e">
        <x:f>VLOOKUP(Tabla2[[#This Row],[CODIGO]],Taller2585[[Código]:[Descripción ]],2,0)</x:f>
        <x:v>#N/A</x:v>
      </x:c>
      <x:c r="D599" s="16" t="e">
        <x:f>VLOOKUP(Tabla2[[#This Row],[CODIGO]],Taller2585[[Código]:[Referencia]],3,0)</x:f>
        <x:v>#N/A</x:v>
      </x:c>
    </x:row>
    <x:row r="600">
      <x:c r="C600" s="16" t="e">
        <x:f>VLOOKUP(Tabla2[[#This Row],[CODIGO]],Taller2585[[Código]:[Descripción ]],2,0)</x:f>
        <x:v>#N/A</x:v>
      </x:c>
      <x:c r="D600" s="16" t="e">
        <x:f>VLOOKUP(Tabla2[[#This Row],[CODIGO]],Taller2585[[Código]:[Referencia]],3,0)</x:f>
        <x:v>#N/A</x:v>
      </x:c>
    </x:row>
    <x:row r="601">
      <x:c r="C601" s="16" t="e">
        <x:f>VLOOKUP(Tabla2[[#This Row],[CODIGO]],Taller2585[[Código]:[Descripción ]],2,0)</x:f>
        <x:v>#N/A</x:v>
      </x:c>
      <x:c r="D601" s="16" t="e">
        <x:f>VLOOKUP(Tabla2[[#This Row],[CODIGO]],Taller2585[[Código]:[Referencia]],3,0)</x:f>
        <x:v>#N/A</x:v>
      </x:c>
    </x:row>
    <x:row r="602">
      <x:c r="C602" s="16" t="e">
        <x:f>VLOOKUP(Tabla2[[#This Row],[CODIGO]],Taller2585[[Código]:[Descripción ]],2,0)</x:f>
        <x:v>#N/A</x:v>
      </x:c>
      <x:c r="D602" s="16" t="e">
        <x:f>VLOOKUP(Tabla2[[#This Row],[CODIGO]],Taller2585[[Código]:[Referencia]],3,0)</x:f>
        <x:v>#N/A</x:v>
      </x:c>
    </x:row>
    <x:row r="603">
      <x:c r="C603" s="16" t="e">
        <x:f>VLOOKUP(Tabla2[[#This Row],[CODIGO]],Taller2585[[Código]:[Descripción ]],2,0)</x:f>
        <x:v>#N/A</x:v>
      </x:c>
      <x:c r="D603" s="16" t="e">
        <x:f>VLOOKUP(Tabla2[[#This Row],[CODIGO]],Taller2585[[Código]:[Referencia]],3,0)</x:f>
        <x:v>#N/A</x:v>
      </x:c>
    </x:row>
    <x:row r="604">
      <x:c r="C604" s="16" t="e">
        <x:f>VLOOKUP(Tabla2[[#This Row],[CODIGO]],Taller2585[[Código]:[Descripción ]],2,0)</x:f>
        <x:v>#N/A</x:v>
      </x:c>
      <x:c r="D604" s="16" t="e">
        <x:f>VLOOKUP(Tabla2[[#This Row],[CODIGO]],Taller2585[[Código]:[Referencia]],3,0)</x:f>
        <x:v>#N/A</x:v>
      </x:c>
    </x:row>
    <x:row r="605">
      <x:c r="C605" s="16" t="e">
        <x:f>VLOOKUP(Tabla2[[#This Row],[CODIGO]],Taller2585[[Código]:[Descripción ]],2,0)</x:f>
        <x:v>#N/A</x:v>
      </x:c>
      <x:c r="D605" s="16" t="e">
        <x:f>VLOOKUP(Tabla2[[#This Row],[CODIGO]],Taller2585[[Código]:[Referencia]],3,0)</x:f>
        <x:v>#N/A</x:v>
      </x:c>
    </x:row>
    <x:row r="606">
      <x:c r="C606" s="16" t="e">
        <x:f>VLOOKUP(Tabla2[[#This Row],[CODIGO]],Taller2585[[Código]:[Descripción ]],2,0)</x:f>
        <x:v>#N/A</x:v>
      </x:c>
      <x:c r="D606" s="16" t="e">
        <x:f>VLOOKUP(Tabla2[[#This Row],[CODIGO]],Taller2585[[Código]:[Referencia]],3,0)</x:f>
        <x:v>#N/A</x:v>
      </x:c>
    </x:row>
    <x:row r="607">
      <x:c r="C607" s="16" t="e">
        <x:f>VLOOKUP(Tabla2[[#This Row],[CODIGO]],Taller2585[[Código]:[Descripción ]],2,0)</x:f>
        <x:v>#N/A</x:v>
      </x:c>
      <x:c r="D607" s="16" t="e">
        <x:f>VLOOKUP(Tabla2[[#This Row],[CODIGO]],Taller2585[[Código]:[Referencia]],3,0)</x:f>
        <x:v>#N/A</x:v>
      </x:c>
    </x:row>
    <x:row r="608">
      <x:c r="C608" s="16" t="e">
        <x:f>VLOOKUP(Tabla2[[#This Row],[CODIGO]],Taller2585[[Código]:[Descripción ]],2,0)</x:f>
        <x:v>#N/A</x:v>
      </x:c>
      <x:c r="D608" s="16" t="e">
        <x:f>VLOOKUP(Tabla2[[#This Row],[CODIGO]],Taller2585[[Código]:[Referencia]],3,0)</x:f>
        <x:v>#N/A</x:v>
      </x:c>
    </x:row>
    <x:row r="609">
      <x:c r="C609" s="16" t="e">
        <x:f>VLOOKUP(Tabla2[[#This Row],[CODIGO]],Taller2585[[Código]:[Descripción ]],2,0)</x:f>
        <x:v>#N/A</x:v>
      </x:c>
      <x:c r="D609" s="16" t="e">
        <x:f>VLOOKUP(Tabla2[[#This Row],[CODIGO]],Taller2585[[Código]:[Referencia]],3,0)</x:f>
        <x:v>#N/A</x:v>
      </x:c>
    </x:row>
    <x:row r="610">
      <x:c r="C610" s="16" t="e">
        <x:f>VLOOKUP(Tabla2[[#This Row],[CODIGO]],Taller2585[[Código]:[Descripción ]],2,0)</x:f>
        <x:v>#N/A</x:v>
      </x:c>
      <x:c r="D610" s="16" t="e">
        <x:f>VLOOKUP(Tabla2[[#This Row],[CODIGO]],Taller2585[[Código]:[Referencia]],3,0)</x:f>
        <x:v>#N/A</x:v>
      </x:c>
    </x:row>
    <x:row r="611">
      <x:c r="C611" s="16" t="e">
        <x:f>VLOOKUP(Tabla2[[#This Row],[CODIGO]],Taller2585[[Código]:[Descripción ]],2,0)</x:f>
        <x:v>#N/A</x:v>
      </x:c>
      <x:c r="D611" s="16" t="e">
        <x:f>VLOOKUP(Tabla2[[#This Row],[CODIGO]],Taller2585[[Código]:[Referencia]],3,0)</x:f>
        <x:v>#N/A</x:v>
      </x:c>
    </x:row>
    <x:row r="612">
      <x:c r="C612" s="16" t="e">
        <x:f>VLOOKUP(Tabla2[[#This Row],[CODIGO]],Taller2585[[Código]:[Descripción ]],2,0)</x:f>
        <x:v>#N/A</x:v>
      </x:c>
      <x:c r="D612" s="16" t="e">
        <x:f>VLOOKUP(Tabla2[[#This Row],[CODIGO]],Taller2585[[Código]:[Referencia]],3,0)</x:f>
        <x:v>#N/A</x:v>
      </x:c>
    </x:row>
    <x:row r="613">
      <x:c r="C613" s="16" t="e">
        <x:f>VLOOKUP(Tabla2[[#This Row],[CODIGO]],Taller2585[[Código]:[Descripción ]],2,0)</x:f>
        <x:v>#N/A</x:v>
      </x:c>
      <x:c r="D613" s="16" t="e">
        <x:f>VLOOKUP(Tabla2[[#This Row],[CODIGO]],Taller2585[[Código]:[Referencia]],3,0)</x:f>
        <x:v>#N/A</x:v>
      </x:c>
    </x:row>
    <x:row r="614">
      <x:c r="C614" s="16" t="e">
        <x:f>VLOOKUP(Tabla2[[#This Row],[CODIGO]],Taller2585[[Código]:[Descripción ]],2,0)</x:f>
        <x:v>#N/A</x:v>
      </x:c>
      <x:c r="D614" s="16" t="e">
        <x:f>VLOOKUP(Tabla2[[#This Row],[CODIGO]],Taller2585[[Código]:[Referencia]],3,0)</x:f>
        <x:v>#N/A</x:v>
      </x:c>
    </x:row>
    <x:row r="615">
      <x:c r="C615" s="16" t="e">
        <x:f>VLOOKUP(Tabla2[[#This Row],[CODIGO]],Taller2585[[Código]:[Descripción ]],2,0)</x:f>
        <x:v>#N/A</x:v>
      </x:c>
      <x:c r="D615" s="16" t="e">
        <x:f>VLOOKUP(Tabla2[[#This Row],[CODIGO]],Taller2585[[Código]:[Referencia]],3,0)</x:f>
        <x:v>#N/A</x:v>
      </x:c>
    </x:row>
    <x:row r="616">
      <x:c r="C616" s="16" t="e">
        <x:f>VLOOKUP(Tabla2[[#This Row],[CODIGO]],Taller2585[[Código]:[Descripción ]],2,0)</x:f>
        <x:v>#N/A</x:v>
      </x:c>
      <x:c r="D616" s="16" t="e">
        <x:f>VLOOKUP(Tabla2[[#This Row],[CODIGO]],Taller2585[[Código]:[Referencia]],3,0)</x:f>
        <x:v>#N/A</x:v>
      </x:c>
    </x:row>
    <x:row r="617">
      <x:c r="C617" s="16" t="e">
        <x:f>VLOOKUP(Tabla2[[#This Row],[CODIGO]],Taller2585[[Código]:[Descripción ]],2,0)</x:f>
        <x:v>#N/A</x:v>
      </x:c>
      <x:c r="D617" s="16" t="e">
        <x:f>VLOOKUP(Tabla2[[#This Row],[CODIGO]],Taller2585[[Código]:[Referencia]],3,0)</x:f>
        <x:v>#N/A</x:v>
      </x:c>
    </x:row>
    <x:row r="618">
      <x:c r="C618" s="16" t="e">
        <x:f>VLOOKUP(Tabla2[[#This Row],[CODIGO]],Taller2585[[Código]:[Descripción ]],2,0)</x:f>
        <x:v>#N/A</x:v>
      </x:c>
      <x:c r="D618" s="16" t="e">
        <x:f>VLOOKUP(Tabla2[[#This Row],[CODIGO]],Taller2585[[Código]:[Referencia]],3,0)</x:f>
        <x:v>#N/A</x:v>
      </x:c>
    </x:row>
    <x:row r="619">
      <x:c r="C619" s="16" t="e">
        <x:f>VLOOKUP(Tabla2[[#This Row],[CODIGO]],Taller2585[[Código]:[Descripción ]],2,0)</x:f>
        <x:v>#N/A</x:v>
      </x:c>
      <x:c r="D619" s="16" t="e">
        <x:f>VLOOKUP(Tabla2[[#This Row],[CODIGO]],Taller2585[[Código]:[Referencia]],3,0)</x:f>
        <x:v>#N/A</x:v>
      </x:c>
    </x:row>
    <x:row r="620">
      <x:c r="C620" s="16" t="e">
        <x:f>VLOOKUP(Tabla2[[#This Row],[CODIGO]],Taller2585[[Código]:[Descripción ]],2,0)</x:f>
        <x:v>#N/A</x:v>
      </x:c>
      <x:c r="D620" s="16" t="e">
        <x:f>VLOOKUP(Tabla2[[#This Row],[CODIGO]],Taller2585[[Código]:[Referencia]],3,0)</x:f>
        <x:v>#N/A</x:v>
      </x:c>
    </x:row>
    <x:row r="621">
      <x:c r="C621" s="16" t="e">
        <x:f>VLOOKUP(Tabla2[[#This Row],[CODIGO]],Taller2585[[Código]:[Descripción ]],2,0)</x:f>
        <x:v>#N/A</x:v>
      </x:c>
      <x:c r="D621" s="16" t="e">
        <x:f>VLOOKUP(Tabla2[[#This Row],[CODIGO]],Taller2585[[Código]:[Referencia]],3,0)</x:f>
        <x:v>#N/A</x:v>
      </x:c>
    </x:row>
    <x:row r="622">
      <x:c r="C622" s="16" t="e">
        <x:f>VLOOKUP(Tabla2[[#This Row],[CODIGO]],Taller2585[[Código]:[Descripción ]],2,0)</x:f>
        <x:v>#N/A</x:v>
      </x:c>
      <x:c r="D622" s="16" t="e">
        <x:f>VLOOKUP(Tabla2[[#This Row],[CODIGO]],Taller2585[[Código]:[Referencia]],3,0)</x:f>
        <x:v>#N/A</x:v>
      </x:c>
    </x:row>
    <x:row r="623">
      <x:c r="C623" s="16" t="e">
        <x:f>VLOOKUP(Tabla2[[#This Row],[CODIGO]],Taller2585[[Código]:[Descripción ]],2,0)</x:f>
        <x:v>#N/A</x:v>
      </x:c>
      <x:c r="D623" s="16" t="e">
        <x:f>VLOOKUP(Tabla2[[#This Row],[CODIGO]],Taller2585[[Código]:[Referencia]],3,0)</x:f>
        <x:v>#N/A</x:v>
      </x:c>
    </x:row>
    <x:row r="624">
      <x:c r="C624" s="16" t="e">
        <x:f>VLOOKUP(Tabla2[[#This Row],[CODIGO]],Taller2585[[Código]:[Descripción ]],2,0)</x:f>
        <x:v>#N/A</x:v>
      </x:c>
      <x:c r="D624" s="16" t="e">
        <x:f>VLOOKUP(Tabla2[[#This Row],[CODIGO]],Taller2585[[Código]:[Referencia]],3,0)</x:f>
        <x:v>#N/A</x:v>
      </x:c>
    </x:row>
    <x:row r="625">
      <x:c r="C625" s="16" t="e">
        <x:f>VLOOKUP(Tabla2[[#This Row],[CODIGO]],Taller2585[[Código]:[Descripción ]],2,0)</x:f>
        <x:v>#N/A</x:v>
      </x:c>
      <x:c r="D625" s="16" t="e">
        <x:f>VLOOKUP(Tabla2[[#This Row],[CODIGO]],Taller2585[[Código]:[Referencia]],3,0)</x:f>
        <x:v>#N/A</x:v>
      </x:c>
    </x:row>
    <x:row r="626">
      <x:c r="C626" s="16" t="e">
        <x:f>VLOOKUP(Tabla2[[#This Row],[CODIGO]],Taller2585[[Código]:[Descripción ]],2,0)</x:f>
        <x:v>#N/A</x:v>
      </x:c>
      <x:c r="D626" s="16" t="e">
        <x:f>VLOOKUP(Tabla2[[#This Row],[CODIGO]],Taller2585[[Código]:[Referencia]],3,0)</x:f>
        <x:v>#N/A</x:v>
      </x:c>
    </x:row>
    <x:row r="627">
      <x:c r="C627" s="16" t="e">
        <x:f>VLOOKUP(Tabla2[[#This Row],[CODIGO]],Taller2585[[Código]:[Descripción ]],2,0)</x:f>
        <x:v>#N/A</x:v>
      </x:c>
      <x:c r="D627" s="16" t="e">
        <x:f>VLOOKUP(Tabla2[[#This Row],[CODIGO]],Taller2585[[Código]:[Referencia]],3,0)</x:f>
        <x:v>#N/A</x:v>
      </x:c>
    </x:row>
    <x:row r="628">
      <x:c r="C628" s="16" t="e">
        <x:f>VLOOKUP(Tabla2[[#This Row],[CODIGO]],Taller2585[[Código]:[Descripción ]],2,0)</x:f>
        <x:v>#N/A</x:v>
      </x:c>
      <x:c r="D628" s="16" t="e">
        <x:f>VLOOKUP(Tabla2[[#This Row],[CODIGO]],Taller2585[[Código]:[Referencia]],3,0)</x:f>
        <x:v>#N/A</x:v>
      </x:c>
    </x:row>
    <x:row r="629">
      <x:c r="C629" s="16" t="e">
        <x:f>VLOOKUP(Tabla2[[#This Row],[CODIGO]],Taller2585[[Código]:[Descripción ]],2,0)</x:f>
        <x:v>#N/A</x:v>
      </x:c>
      <x:c r="D629" s="16" t="e">
        <x:f>VLOOKUP(Tabla2[[#This Row],[CODIGO]],Taller2585[[Código]:[Referencia]],3,0)</x:f>
        <x:v>#N/A</x:v>
      </x:c>
    </x:row>
    <x:row r="630">
      <x:c r="C630" s="16" t="e">
        <x:f>VLOOKUP(Tabla2[[#This Row],[CODIGO]],Taller2585[[Código]:[Descripción ]],2,0)</x:f>
        <x:v>#N/A</x:v>
      </x:c>
      <x:c r="D630" s="16" t="e">
        <x:f>VLOOKUP(Tabla2[[#This Row],[CODIGO]],Taller2585[[Código]:[Referencia]],3,0)</x:f>
        <x:v>#N/A</x:v>
      </x:c>
    </x:row>
    <x:row r="631">
      <x:c r="C631" s="16" t="e">
        <x:f>VLOOKUP(Tabla2[[#This Row],[CODIGO]],Taller2585[[Código]:[Descripción ]],2,0)</x:f>
        <x:v>#N/A</x:v>
      </x:c>
      <x:c r="D631" s="16" t="e">
        <x:f>VLOOKUP(Tabla2[[#This Row],[CODIGO]],Taller2585[[Código]:[Referencia]],3,0)</x:f>
        <x:v>#N/A</x:v>
      </x:c>
    </x:row>
    <x:row r="632">
      <x:c r="C632" s="16" t="e">
        <x:f>VLOOKUP(Tabla2[[#This Row],[CODIGO]],Taller2585[[Código]:[Descripción ]],2,0)</x:f>
        <x:v>#N/A</x:v>
      </x:c>
      <x:c r="D632" s="16" t="e">
        <x:f>VLOOKUP(Tabla2[[#This Row],[CODIGO]],Taller2585[[Código]:[Referencia]],3,0)</x:f>
        <x:v>#N/A</x:v>
      </x:c>
    </x:row>
    <x:row r="633">
      <x:c r="C633" s="16" t="e">
        <x:f>VLOOKUP(Tabla2[[#This Row],[CODIGO]],Taller2585[[Código]:[Descripción ]],2,0)</x:f>
        <x:v>#N/A</x:v>
      </x:c>
      <x:c r="D633" s="16" t="e">
        <x:f>VLOOKUP(Tabla2[[#This Row],[CODIGO]],Taller2585[[Código]:[Referencia]],3,0)</x:f>
        <x:v>#N/A</x:v>
      </x:c>
    </x:row>
    <x:row r="634">
      <x:c r="C634" s="16" t="e">
        <x:f>VLOOKUP(Tabla2[[#This Row],[CODIGO]],Taller2585[[Código]:[Descripción ]],2,0)</x:f>
        <x:v>#N/A</x:v>
      </x:c>
      <x:c r="D634" s="16" t="e">
        <x:f>VLOOKUP(Tabla2[[#This Row],[CODIGO]],Taller2585[[Código]:[Referencia]],3,0)</x:f>
        <x:v>#N/A</x:v>
      </x:c>
    </x:row>
    <x:row r="635">
      <x:c r="C635" s="16" t="e">
        <x:f>VLOOKUP(Tabla2[[#This Row],[CODIGO]],Taller2585[[Código]:[Descripción ]],2,0)</x:f>
        <x:v>#N/A</x:v>
      </x:c>
      <x:c r="D635" s="16" t="e">
        <x:f>VLOOKUP(Tabla2[[#This Row],[CODIGO]],Taller2585[[Código]:[Referencia]],3,0)</x:f>
        <x:v>#N/A</x:v>
      </x:c>
    </x:row>
    <x:row r="636">
      <x:c r="C636" s="16" t="e">
        <x:f>VLOOKUP(Tabla2[[#This Row],[CODIGO]],Taller2585[[Código]:[Descripción ]],2,0)</x:f>
        <x:v>#N/A</x:v>
      </x:c>
      <x:c r="D636" s="16" t="e">
        <x:f>VLOOKUP(Tabla2[[#This Row],[CODIGO]],Taller2585[[Código]:[Referencia]],3,0)</x:f>
        <x:v>#N/A</x:v>
      </x:c>
    </x:row>
    <x:row r="637">
      <x:c r="C637" s="16" t="e">
        <x:f>VLOOKUP(Tabla2[[#This Row],[CODIGO]],Taller2585[[Código]:[Descripción ]],2,0)</x:f>
        <x:v>#N/A</x:v>
      </x:c>
      <x:c r="D637" s="16" t="e">
        <x:f>VLOOKUP(Tabla2[[#This Row],[CODIGO]],Taller2585[[Código]:[Referencia]],3,0)</x:f>
        <x:v>#N/A</x:v>
      </x:c>
    </x:row>
    <x:row r="638">
      <x:c r="C638" s="16" t="e">
        <x:f>VLOOKUP(Tabla2[[#This Row],[CODIGO]],Taller2585[[Código]:[Descripción ]],2,0)</x:f>
        <x:v>#N/A</x:v>
      </x:c>
      <x:c r="D638" s="16" t="e">
        <x:f>VLOOKUP(Tabla2[[#This Row],[CODIGO]],Taller2585[[Código]:[Referencia]],3,0)</x:f>
        <x:v>#N/A</x:v>
      </x:c>
    </x:row>
    <x:row r="639">
      <x:c r="C639" s="16" t="e">
        <x:f>VLOOKUP(Tabla2[[#This Row],[CODIGO]],Taller2585[[Código]:[Descripción ]],2,0)</x:f>
        <x:v>#N/A</x:v>
      </x:c>
      <x:c r="D639" s="16" t="e">
        <x:f>VLOOKUP(Tabla2[[#This Row],[CODIGO]],Taller2585[[Código]:[Referencia]],3,0)</x:f>
        <x:v>#N/A</x:v>
      </x:c>
    </x:row>
    <x:row r="640">
      <x:c r="C640" s="16" t="e">
        <x:f>VLOOKUP(Tabla2[[#This Row],[CODIGO]],Taller2585[[Código]:[Descripción ]],2,0)</x:f>
        <x:v>#N/A</x:v>
      </x:c>
      <x:c r="D640" s="16" t="e">
        <x:f>VLOOKUP(Tabla2[[#This Row],[CODIGO]],Taller2585[[Código]:[Referencia]],3,0)</x:f>
        <x:v>#N/A</x:v>
      </x:c>
    </x:row>
    <x:row r="641">
      <x:c r="C641" s="16" t="e">
        <x:f>VLOOKUP(Tabla2[[#This Row],[CODIGO]],Taller2585[[Código]:[Descripción ]],2,0)</x:f>
        <x:v>#N/A</x:v>
      </x:c>
      <x:c r="D641" s="16" t="e">
        <x:f>VLOOKUP(Tabla2[[#This Row],[CODIGO]],Taller2585[[Código]:[Referencia]],3,0)</x:f>
        <x:v>#N/A</x:v>
      </x:c>
    </x:row>
    <x:row r="642">
      <x:c r="C642" s="16" t="e">
        <x:f>VLOOKUP(Tabla2[[#This Row],[CODIGO]],Taller2585[[Código]:[Descripción ]],2,0)</x:f>
        <x:v>#N/A</x:v>
      </x:c>
      <x:c r="D642" s="16" t="e">
        <x:f>VLOOKUP(Tabla2[[#This Row],[CODIGO]],Taller2585[[Código]:[Referencia]],3,0)</x:f>
        <x:v>#N/A</x:v>
      </x:c>
    </x:row>
    <x:row r="643">
      <x:c r="C643" s="16" t="e">
        <x:f>VLOOKUP(Tabla2[[#This Row],[CODIGO]],Taller2585[[Código]:[Descripción ]],2,0)</x:f>
        <x:v>#N/A</x:v>
      </x:c>
      <x:c r="D643" s="16" t="e">
        <x:f>VLOOKUP(Tabla2[[#This Row],[CODIGO]],Taller2585[[Código]:[Referencia]],3,0)</x:f>
        <x:v>#N/A</x:v>
      </x:c>
    </x:row>
    <x:row r="644">
      <x:c r="C644" s="16" t="e">
        <x:f>VLOOKUP(Tabla2[[#This Row],[CODIGO]],Taller2585[[Código]:[Descripción ]],2,0)</x:f>
        <x:v>#N/A</x:v>
      </x:c>
      <x:c r="D644" s="16" t="e">
        <x:f>VLOOKUP(Tabla2[[#This Row],[CODIGO]],Taller2585[[Código]:[Referencia]],3,0)</x:f>
        <x:v>#N/A</x:v>
      </x:c>
    </x:row>
    <x:row r="645">
      <x:c r="C645" s="16" t="e">
        <x:f>VLOOKUP(Tabla2[[#This Row],[CODIGO]],Taller2585[[Código]:[Descripción ]],2,0)</x:f>
        <x:v>#N/A</x:v>
      </x:c>
      <x:c r="D645" s="16" t="e">
        <x:f>VLOOKUP(Tabla2[[#This Row],[CODIGO]],Taller2585[[Código]:[Referencia]],3,0)</x:f>
        <x:v>#N/A</x:v>
      </x:c>
    </x:row>
    <x:row r="646">
      <x:c r="C646" s="16" t="e">
        <x:f>VLOOKUP(Tabla2[[#This Row],[CODIGO]],Taller2585[[Código]:[Descripción ]],2,0)</x:f>
        <x:v>#N/A</x:v>
      </x:c>
      <x:c r="D646" s="16" t="e">
        <x:f>VLOOKUP(Tabla2[[#This Row],[CODIGO]],Taller2585[[Código]:[Referencia]],3,0)</x:f>
        <x:v>#N/A</x:v>
      </x:c>
    </x:row>
    <x:row r="647">
      <x:c r="C647" s="16" t="e">
        <x:f>VLOOKUP(Tabla2[[#This Row],[CODIGO]],Taller2585[[Código]:[Descripción ]],2,0)</x:f>
        <x:v>#N/A</x:v>
      </x:c>
      <x:c r="D647" s="16" t="e">
        <x:f>VLOOKUP(Tabla2[[#This Row],[CODIGO]],Taller2585[[Código]:[Referencia]],3,0)</x:f>
        <x:v>#N/A</x:v>
      </x:c>
    </x:row>
    <x:row r="648">
      <x:c r="C648" s="16" t="e">
        <x:f>VLOOKUP(Tabla2[[#This Row],[CODIGO]],Taller2585[[Código]:[Descripción ]],2,0)</x:f>
        <x:v>#N/A</x:v>
      </x:c>
      <x:c r="D648" s="16" t="e">
        <x:f>VLOOKUP(Tabla2[[#This Row],[CODIGO]],Taller2585[[Código]:[Referencia]],3,0)</x:f>
        <x:v>#N/A</x:v>
      </x:c>
    </x:row>
    <x:row r="649">
      <x:c r="C649" s="16" t="e">
        <x:f>VLOOKUP(Tabla2[[#This Row],[CODIGO]],Taller2585[[Código]:[Descripción ]],2,0)</x:f>
        <x:v>#N/A</x:v>
      </x:c>
      <x:c r="D649" s="16" t="e">
        <x:f>VLOOKUP(Tabla2[[#This Row],[CODIGO]],Taller2585[[Código]:[Referencia]],3,0)</x:f>
        <x:v>#N/A</x:v>
      </x:c>
    </x:row>
    <x:row r="650">
      <x:c r="C650" s="16" t="e">
        <x:f>VLOOKUP(Tabla2[[#This Row],[CODIGO]],Taller2585[[Código]:[Descripción ]],2,0)</x:f>
        <x:v>#N/A</x:v>
      </x:c>
      <x:c r="D650" s="16" t="e">
        <x:f>VLOOKUP(Tabla2[[#This Row],[CODIGO]],Taller2585[[Código]:[Referencia]],3,0)</x:f>
        <x:v>#N/A</x:v>
      </x:c>
    </x:row>
    <x:row r="651">
      <x:c r="C651" s="16" t="e">
        <x:f>VLOOKUP(Tabla2[[#This Row],[CODIGO]],Taller2585[[Código]:[Descripción ]],2,0)</x:f>
        <x:v>#N/A</x:v>
      </x:c>
      <x:c r="D651" s="16" t="e">
        <x:f>VLOOKUP(Tabla2[[#This Row],[CODIGO]],Taller2585[[Código]:[Referencia]],3,0)</x:f>
        <x:v>#N/A</x:v>
      </x:c>
    </x:row>
    <x:row r="652">
      <x:c r="C652" s="16" t="e">
        <x:f>VLOOKUP(Tabla2[[#This Row],[CODIGO]],Taller2585[[Código]:[Descripción ]],2,0)</x:f>
        <x:v>#N/A</x:v>
      </x:c>
      <x:c r="D652" s="16" t="e">
        <x:f>VLOOKUP(Tabla2[[#This Row],[CODIGO]],Taller2585[[Código]:[Referencia]],3,0)</x:f>
        <x:v>#N/A</x:v>
      </x:c>
    </x:row>
    <x:row r="653">
      <x:c r="C653" s="16" t="e">
        <x:f>VLOOKUP(Tabla2[[#This Row],[CODIGO]],Taller2585[[Código]:[Descripción ]],2,0)</x:f>
        <x:v>#N/A</x:v>
      </x:c>
      <x:c r="D653" s="16" t="e">
        <x:f>VLOOKUP(Tabla2[[#This Row],[CODIGO]],Taller2585[[Código]:[Referencia]],3,0)</x:f>
        <x:v>#N/A</x:v>
      </x:c>
    </x:row>
    <x:row r="654">
      <x:c r="C654" s="16" t="e">
        <x:f>VLOOKUP(Tabla2[[#This Row],[CODIGO]],Taller2585[[Código]:[Descripción ]],2,0)</x:f>
        <x:v>#N/A</x:v>
      </x:c>
      <x:c r="D654" s="16" t="e">
        <x:f>VLOOKUP(Tabla2[[#This Row],[CODIGO]],Taller2585[[Código]:[Referencia]],3,0)</x:f>
        <x:v>#N/A</x:v>
      </x:c>
    </x:row>
    <x:row r="655">
      <x:c r="C655" s="16" t="e">
        <x:f>VLOOKUP(Tabla2[[#This Row],[CODIGO]],Taller2585[[Código]:[Descripción ]],2,0)</x:f>
        <x:v>#N/A</x:v>
      </x:c>
      <x:c r="D655" s="16" t="e">
        <x:f>VLOOKUP(Tabla2[[#This Row],[CODIGO]],Taller2585[[Código]:[Referencia]],3,0)</x:f>
        <x:v>#N/A</x:v>
      </x:c>
    </x:row>
    <x:row r="656">
      <x:c r="C656" s="16" t="e">
        <x:f>VLOOKUP(Tabla2[[#This Row],[CODIGO]],Taller2585[[Código]:[Descripción ]],2,0)</x:f>
        <x:v>#N/A</x:v>
      </x:c>
      <x:c r="D656" s="16" t="e">
        <x:f>VLOOKUP(Tabla2[[#This Row],[CODIGO]],Taller2585[[Código]:[Referencia]],3,0)</x:f>
        <x:v>#N/A</x:v>
      </x:c>
    </x:row>
    <x:row r="657">
      <x:c r="C657" s="16" t="e">
        <x:f>VLOOKUP(Tabla2[[#This Row],[CODIGO]],Taller2585[[Código]:[Descripción ]],2,0)</x:f>
        <x:v>#N/A</x:v>
      </x:c>
      <x:c r="D657" s="16" t="e">
        <x:f>VLOOKUP(Tabla2[[#This Row],[CODIGO]],Taller2585[[Código]:[Referencia]],3,0)</x:f>
        <x:v>#N/A</x:v>
      </x:c>
    </x:row>
    <x:row r="658">
      <x:c r="C658" s="16" t="e">
        <x:f>VLOOKUP(Tabla2[[#This Row],[CODIGO]],Taller2585[[Código]:[Descripción ]],2,0)</x:f>
        <x:v>#N/A</x:v>
      </x:c>
      <x:c r="D658" s="16" t="e">
        <x:f>VLOOKUP(Tabla2[[#This Row],[CODIGO]],Taller2585[[Código]:[Referencia]],3,0)</x:f>
        <x:v>#N/A</x:v>
      </x:c>
    </x:row>
    <x:row r="659">
      <x:c r="C659" s="16" t="e">
        <x:f>VLOOKUP(Tabla2[[#This Row],[CODIGO]],Taller2585[[Código]:[Descripción ]],2,0)</x:f>
        <x:v>#N/A</x:v>
      </x:c>
      <x:c r="D659" s="16" t="e">
        <x:f>VLOOKUP(Tabla2[[#This Row],[CODIGO]],Taller2585[[Código]:[Referencia]],3,0)</x:f>
        <x:v>#N/A</x:v>
      </x:c>
    </x:row>
    <x:row r="660">
      <x:c r="C660" s="16" t="e">
        <x:f>VLOOKUP(Tabla2[[#This Row],[CODIGO]],Taller2585[[Código]:[Descripción ]],2,0)</x:f>
        <x:v>#N/A</x:v>
      </x:c>
      <x:c r="D660" s="16" t="e">
        <x:f>VLOOKUP(Tabla2[[#This Row],[CODIGO]],Taller2585[[Código]:[Referencia]],3,0)</x:f>
        <x:v>#N/A</x:v>
      </x:c>
    </x:row>
    <x:row r="661">
      <x:c r="C661" s="16" t="e">
        <x:f>VLOOKUP(Tabla2[[#This Row],[CODIGO]],Taller2585[[Código]:[Descripción ]],2,0)</x:f>
        <x:v>#N/A</x:v>
      </x:c>
      <x:c r="D661" s="16" t="e">
        <x:f>VLOOKUP(Tabla2[[#This Row],[CODIGO]],Taller2585[[Código]:[Referencia]],3,0)</x:f>
        <x:v>#N/A</x:v>
      </x:c>
    </x:row>
    <x:row r="662">
      <x:c r="C662" s="16" t="e">
        <x:f>VLOOKUP(Tabla2[[#This Row],[CODIGO]],Taller2585[[Código]:[Descripción ]],2,0)</x:f>
        <x:v>#N/A</x:v>
      </x:c>
      <x:c r="D662" s="16" t="e">
        <x:f>VLOOKUP(Tabla2[[#This Row],[CODIGO]],Taller2585[[Código]:[Referencia]],3,0)</x:f>
        <x:v>#N/A</x:v>
      </x:c>
    </x:row>
    <x:row r="663">
      <x:c r="C663" s="16" t="e">
        <x:f>VLOOKUP(Tabla2[[#This Row],[CODIGO]],Taller2585[[Código]:[Descripción ]],2,0)</x:f>
        <x:v>#N/A</x:v>
      </x:c>
      <x:c r="D663" s="16" t="e">
        <x:f>VLOOKUP(Tabla2[[#This Row],[CODIGO]],Taller2585[[Código]:[Referencia]],3,0)</x:f>
        <x:v>#N/A</x:v>
      </x:c>
    </x:row>
    <x:row r="664">
      <x:c r="C664" s="16" t="e">
        <x:f>VLOOKUP(Tabla2[[#This Row],[CODIGO]],Taller2585[[Código]:[Descripción ]],2,0)</x:f>
        <x:v>#N/A</x:v>
      </x:c>
      <x:c r="D664" s="16" t="e">
        <x:f>VLOOKUP(Tabla2[[#This Row],[CODIGO]],Taller2585[[Código]:[Referencia]],3,0)</x:f>
        <x:v>#N/A</x:v>
      </x:c>
    </x:row>
    <x:row r="665">
      <x:c r="C665" s="16" t="e">
        <x:f>VLOOKUP(Tabla2[[#This Row],[CODIGO]],Taller2585[[Código]:[Descripción ]],2,0)</x:f>
        <x:v>#N/A</x:v>
      </x:c>
      <x:c r="D665" s="16" t="e">
        <x:f>VLOOKUP(Tabla2[[#This Row],[CODIGO]],Taller2585[[Código]:[Referencia]],3,0)</x:f>
        <x:v>#N/A</x:v>
      </x:c>
    </x:row>
    <x:row r="666">
      <x:c r="C666" s="16" t="e">
        <x:f>VLOOKUP(Tabla2[[#This Row],[CODIGO]],Taller2585[[Código]:[Descripción ]],2,0)</x:f>
        <x:v>#N/A</x:v>
      </x:c>
      <x:c r="D666" s="16" t="e">
        <x:f>VLOOKUP(Tabla2[[#This Row],[CODIGO]],Taller2585[[Código]:[Referencia]],3,0)</x:f>
        <x:v>#N/A</x:v>
      </x:c>
    </x:row>
    <x:row r="667">
      <x:c r="C667" s="16" t="e">
        <x:f>VLOOKUP(Tabla2[[#This Row],[CODIGO]],Taller2585[[Código]:[Descripción ]],2,0)</x:f>
        <x:v>#N/A</x:v>
      </x:c>
      <x:c r="D667" s="16" t="e">
        <x:f>VLOOKUP(Tabla2[[#This Row],[CODIGO]],Taller2585[[Código]:[Referencia]],3,0)</x:f>
        <x:v>#N/A</x:v>
      </x:c>
    </x:row>
    <x:row r="668">
      <x:c r="C668" s="16" t="e">
        <x:f>VLOOKUP(Tabla2[[#This Row],[CODIGO]],Taller2585[[Código]:[Descripción ]],2,0)</x:f>
        <x:v>#N/A</x:v>
      </x:c>
      <x:c r="D668" s="16" t="e">
        <x:f>VLOOKUP(Tabla2[[#This Row],[CODIGO]],Taller2585[[Código]:[Referencia]],3,0)</x:f>
        <x:v>#N/A</x:v>
      </x:c>
    </x:row>
    <x:row r="669">
      <x:c r="C669" s="16" t="e">
        <x:f>VLOOKUP(Tabla2[[#This Row],[CODIGO]],Taller2585[[Código]:[Descripción ]],2,0)</x:f>
        <x:v>#N/A</x:v>
      </x:c>
      <x:c r="D669" s="16" t="e">
        <x:f>VLOOKUP(Tabla2[[#This Row],[CODIGO]],Taller2585[[Código]:[Referencia]],3,0)</x:f>
        <x:v>#N/A</x:v>
      </x:c>
    </x:row>
    <x:row r="670">
      <x:c r="C670" s="16" t="e">
        <x:f>VLOOKUP(Tabla2[[#This Row],[CODIGO]],Taller2585[[Código]:[Descripción ]],2,0)</x:f>
        <x:v>#N/A</x:v>
      </x:c>
      <x:c r="D670" s="16" t="e">
        <x:f>VLOOKUP(Tabla2[[#This Row],[CODIGO]],Taller2585[[Código]:[Referencia]],3,0)</x:f>
        <x:v>#N/A</x:v>
      </x:c>
    </x:row>
    <x:row r="671">
      <x:c r="C671" s="16" t="e">
        <x:f>VLOOKUP(Tabla2[[#This Row],[CODIGO]],Taller2585[[Código]:[Descripción ]],2,0)</x:f>
        <x:v>#N/A</x:v>
      </x:c>
      <x:c r="D671" s="16" t="e">
        <x:f>VLOOKUP(Tabla2[[#This Row],[CODIGO]],Taller2585[[Código]:[Referencia]],3,0)</x:f>
        <x:v>#N/A</x:v>
      </x:c>
    </x:row>
    <x:row r="672">
      <x:c r="C672" s="16" t="e">
        <x:f>VLOOKUP(Tabla2[[#This Row],[CODIGO]],Taller2585[[Código]:[Descripción ]],2,0)</x:f>
        <x:v>#N/A</x:v>
      </x:c>
      <x:c r="D672" s="16" t="e">
        <x:f>VLOOKUP(Tabla2[[#This Row],[CODIGO]],Taller2585[[Código]:[Referencia]],3,0)</x:f>
        <x:v>#N/A</x:v>
      </x:c>
    </x:row>
    <x:row r="673">
      <x:c r="C673" s="16" t="e">
        <x:f>VLOOKUP(Tabla2[[#This Row],[CODIGO]],Taller2585[[Código]:[Descripción ]],2,0)</x:f>
        <x:v>#N/A</x:v>
      </x:c>
      <x:c r="D673" s="16" t="e">
        <x:f>VLOOKUP(Tabla2[[#This Row],[CODIGO]],Taller2585[[Código]:[Referencia]],3,0)</x:f>
        <x:v>#N/A</x:v>
      </x:c>
    </x:row>
    <x:row r="674">
      <x:c r="C674" s="16" t="e">
        <x:f>VLOOKUP(Tabla2[[#This Row],[CODIGO]],Taller2585[[Código]:[Descripción ]],2,0)</x:f>
        <x:v>#N/A</x:v>
      </x:c>
      <x:c r="D674" s="16" t="e">
        <x:f>VLOOKUP(Tabla2[[#This Row],[CODIGO]],Taller2585[[Código]:[Referencia]],3,0)</x:f>
        <x:v>#N/A</x:v>
      </x:c>
    </x:row>
    <x:row r="675">
      <x:c r="C675" s="16" t="e">
        <x:f>VLOOKUP(Tabla2[[#This Row],[CODIGO]],Taller2585[[Código]:[Descripción ]],2,0)</x:f>
        <x:v>#N/A</x:v>
      </x:c>
      <x:c r="D675" s="16" t="e">
        <x:f>VLOOKUP(Tabla2[[#This Row],[CODIGO]],Taller2585[[Código]:[Referencia]],3,0)</x:f>
        <x:v>#N/A</x:v>
      </x:c>
    </x:row>
    <x:row r="676">
      <x:c r="C676" s="16" t="e">
        <x:f>VLOOKUP(Tabla2[[#This Row],[CODIGO]],Taller2585[[Código]:[Descripción ]],2,0)</x:f>
        <x:v>#N/A</x:v>
      </x:c>
      <x:c r="D676" s="16" t="e">
        <x:f>VLOOKUP(Tabla2[[#This Row],[CODIGO]],Taller2585[[Código]:[Referencia]],3,0)</x:f>
        <x:v>#N/A</x:v>
      </x:c>
    </x:row>
    <x:row r="677">
      <x:c r="C677" s="16" t="e">
        <x:f>VLOOKUP(Tabla2[[#This Row],[CODIGO]],Taller2585[[Código]:[Descripción ]],2,0)</x:f>
        <x:v>#N/A</x:v>
      </x:c>
      <x:c r="D677" s="16" t="e">
        <x:f>VLOOKUP(Tabla2[[#This Row],[CODIGO]],Taller2585[[Código]:[Referencia]],3,0)</x:f>
        <x:v>#N/A</x:v>
      </x:c>
    </x:row>
    <x:row r="678">
      <x:c r="C678" s="16" t="e">
        <x:f>VLOOKUP(Tabla2[[#This Row],[CODIGO]],Taller2585[[Código]:[Descripción ]],2,0)</x:f>
        <x:v>#N/A</x:v>
      </x:c>
      <x:c r="D678" s="16" t="e">
        <x:f>VLOOKUP(Tabla2[[#This Row],[CODIGO]],Taller2585[[Código]:[Referencia]],3,0)</x:f>
        <x:v>#N/A</x:v>
      </x:c>
    </x:row>
    <x:row r="679">
      <x:c r="C679" s="16" t="e">
        <x:f>VLOOKUP(Tabla2[[#This Row],[CODIGO]],Taller2585[[Código]:[Descripción ]],2,0)</x:f>
        <x:v>#N/A</x:v>
      </x:c>
      <x:c r="D679" s="16" t="e">
        <x:f>VLOOKUP(Tabla2[[#This Row],[CODIGO]],Taller2585[[Código]:[Referencia]],3,0)</x:f>
        <x:v>#N/A</x:v>
      </x:c>
    </x:row>
    <x:row r="680">
      <x:c r="C680" s="16" t="e">
        <x:f>VLOOKUP(Tabla2[[#This Row],[CODIGO]],Taller2585[[Código]:[Descripción ]],2,0)</x:f>
        <x:v>#N/A</x:v>
      </x:c>
      <x:c r="D680" s="16" t="e">
        <x:f>VLOOKUP(Tabla2[[#This Row],[CODIGO]],Taller2585[[Código]:[Referencia]],3,0)</x:f>
        <x:v>#N/A</x:v>
      </x:c>
    </x:row>
    <x:row r="681">
      <x:c r="C681" s="16" t="e">
        <x:f>VLOOKUP(Tabla2[[#This Row],[CODIGO]],Taller2585[[Código]:[Descripción ]],2,0)</x:f>
        <x:v>#N/A</x:v>
      </x:c>
      <x:c r="D681" s="16" t="e">
        <x:f>VLOOKUP(Tabla2[[#This Row],[CODIGO]],Taller2585[[Código]:[Referencia]],3,0)</x:f>
        <x:v>#N/A</x:v>
      </x:c>
    </x:row>
    <x:row r="682">
      <x:c r="C682" s="16" t="e">
        <x:f>VLOOKUP(Tabla2[[#This Row],[CODIGO]],Taller2585[[Código]:[Descripción ]],2,0)</x:f>
        <x:v>#N/A</x:v>
      </x:c>
      <x:c r="D682" s="16" t="e">
        <x:f>VLOOKUP(Tabla2[[#This Row],[CODIGO]],Taller2585[[Código]:[Referencia]],3,0)</x:f>
        <x:v>#N/A</x:v>
      </x:c>
    </x:row>
    <x:row r="683">
      <x:c r="C683" s="16" t="e">
        <x:f>VLOOKUP(Tabla2[[#This Row],[CODIGO]],Taller2585[[Código]:[Descripción ]],2,0)</x:f>
        <x:v>#N/A</x:v>
      </x:c>
      <x:c r="D683" s="16" t="e">
        <x:f>VLOOKUP(Tabla2[[#This Row],[CODIGO]],Taller2585[[Código]:[Referencia]],3,0)</x:f>
        <x:v>#N/A</x:v>
      </x:c>
    </x:row>
    <x:row r="684">
      <x:c r="C684" s="16" t="e">
        <x:f>VLOOKUP(Tabla2[[#This Row],[CODIGO]],Taller2585[[Código]:[Descripción ]],2,0)</x:f>
        <x:v>#N/A</x:v>
      </x:c>
      <x:c r="D684" s="16" t="e">
        <x:f>VLOOKUP(Tabla2[[#This Row],[CODIGO]],Taller2585[[Código]:[Referencia]],3,0)</x:f>
        <x:v>#N/A</x:v>
      </x:c>
    </x:row>
    <x:row r="685">
      <x:c r="C685" s="16" t="e">
        <x:f>VLOOKUP(Tabla2[[#This Row],[CODIGO]],Taller2585[[Código]:[Descripción ]],2,0)</x:f>
        <x:v>#N/A</x:v>
      </x:c>
      <x:c r="D685" s="16" t="e">
        <x:f>VLOOKUP(Tabla2[[#This Row],[CODIGO]],Taller2585[[Código]:[Referencia]],3,0)</x:f>
        <x:v>#N/A</x:v>
      </x:c>
    </x:row>
    <x:row r="686">
      <x:c r="C686" s="16" t="e">
        <x:f>VLOOKUP(Tabla2[[#This Row],[CODIGO]],Taller2585[[Código]:[Descripción ]],2,0)</x:f>
        <x:v>#N/A</x:v>
      </x:c>
      <x:c r="D686" s="16" t="e">
        <x:f>VLOOKUP(Tabla2[[#This Row],[CODIGO]],Taller2585[[Código]:[Referencia]],3,0)</x:f>
        <x:v>#N/A</x:v>
      </x:c>
    </x:row>
    <x:row r="687">
      <x:c r="C687" s="16" t="e">
        <x:f>VLOOKUP(Tabla2[[#This Row],[CODIGO]],Taller2585[[Código]:[Descripción ]],2,0)</x:f>
        <x:v>#N/A</x:v>
      </x:c>
      <x:c r="D687" s="16" t="e">
        <x:f>VLOOKUP(Tabla2[[#This Row],[CODIGO]],Taller2585[[Código]:[Referencia]],3,0)</x:f>
        <x:v>#N/A</x:v>
      </x:c>
    </x:row>
    <x:row r="688">
      <x:c r="C688" s="16" t="e">
        <x:f>VLOOKUP(Tabla2[[#This Row],[CODIGO]],Taller2585[[Código]:[Descripción ]],2,0)</x:f>
        <x:v>#N/A</x:v>
      </x:c>
      <x:c r="D688" s="16" t="e">
        <x:f>VLOOKUP(Tabla2[[#This Row],[CODIGO]],Taller2585[[Código]:[Referencia]],3,0)</x:f>
        <x:v>#N/A</x:v>
      </x:c>
    </x:row>
    <x:row r="689">
      <x:c r="C689" s="16" t="e">
        <x:f>VLOOKUP(Tabla2[[#This Row],[CODIGO]],Taller2585[[Código]:[Descripción ]],2,0)</x:f>
        <x:v>#N/A</x:v>
      </x:c>
      <x:c r="D689" s="16" t="e">
        <x:f>VLOOKUP(Tabla2[[#This Row],[CODIGO]],Taller2585[[Código]:[Referencia]],3,0)</x:f>
        <x:v>#N/A</x:v>
      </x:c>
    </x:row>
    <x:row r="690">
      <x:c r="C690" s="16" t="e">
        <x:f>VLOOKUP(Tabla2[[#This Row],[CODIGO]],Taller2585[[Código]:[Descripción ]],2,0)</x:f>
        <x:v>#N/A</x:v>
      </x:c>
      <x:c r="D690" s="16" t="e">
        <x:f>VLOOKUP(Tabla2[[#This Row],[CODIGO]],Taller2585[[Código]:[Referencia]],3,0)</x:f>
        <x:v>#N/A</x:v>
      </x:c>
    </x:row>
    <x:row r="691">
      <x:c r="C691" s="16" t="e">
        <x:f>VLOOKUP(Tabla2[[#This Row],[CODIGO]],Taller2585[[Código]:[Descripción ]],2,0)</x:f>
        <x:v>#N/A</x:v>
      </x:c>
      <x:c r="D691" s="16" t="e">
        <x:f>VLOOKUP(Tabla2[[#This Row],[CODIGO]],Taller2585[[Código]:[Referencia]],3,0)</x:f>
        <x:v>#N/A</x:v>
      </x:c>
    </x:row>
    <x:row r="692">
      <x:c r="C692" s="16" t="e">
        <x:f>VLOOKUP(Tabla2[[#This Row],[CODIGO]],Taller2585[[Código]:[Descripción ]],2,0)</x:f>
        <x:v>#N/A</x:v>
      </x:c>
      <x:c r="D692" s="16" t="e">
        <x:f>VLOOKUP(Tabla2[[#This Row],[CODIGO]],Taller2585[[Código]:[Referencia]],3,0)</x:f>
        <x:v>#N/A</x:v>
      </x:c>
    </x:row>
    <x:row r="693">
      <x:c r="C693" s="16" t="e">
        <x:f>VLOOKUP(Tabla2[[#This Row],[CODIGO]],Taller2585[[Código]:[Descripción ]],2,0)</x:f>
        <x:v>#N/A</x:v>
      </x:c>
      <x:c r="D693" s="16" t="e">
        <x:f>VLOOKUP(Tabla2[[#This Row],[CODIGO]],Taller2585[[Código]:[Referencia]],3,0)</x:f>
        <x:v>#N/A</x:v>
      </x:c>
    </x:row>
    <x:row r="694">
      <x:c r="C694" s="16" t="e">
        <x:f>VLOOKUP(Tabla2[[#This Row],[CODIGO]],Taller2585[[Código]:[Descripción ]],2,0)</x:f>
        <x:v>#N/A</x:v>
      </x:c>
      <x:c r="D694" s="16" t="e">
        <x:f>VLOOKUP(Tabla2[[#This Row],[CODIGO]],Taller2585[[Código]:[Referencia]],3,0)</x:f>
        <x:v>#N/A</x:v>
      </x:c>
    </x:row>
    <x:row r="695">
      <x:c r="C695" s="16" t="e">
        <x:f>VLOOKUP(Tabla2[[#This Row],[CODIGO]],Taller2585[[Código]:[Descripción ]],2,0)</x:f>
        <x:v>#N/A</x:v>
      </x:c>
      <x:c r="D695" s="16" t="e">
        <x:f>VLOOKUP(Tabla2[[#This Row],[CODIGO]],Taller2585[[Código]:[Referencia]],3,0)</x:f>
        <x:v>#N/A</x:v>
      </x:c>
    </x:row>
    <x:row r="696">
      <x:c r="C696" s="16" t="e">
        <x:f>VLOOKUP(Tabla2[[#This Row],[CODIGO]],Taller2585[[Código]:[Descripción ]],2,0)</x:f>
        <x:v>#N/A</x:v>
      </x:c>
      <x:c r="D696" s="16" t="e">
        <x:f>VLOOKUP(Tabla2[[#This Row],[CODIGO]],Taller2585[[Código]:[Referencia]],3,0)</x:f>
        <x:v>#N/A</x:v>
      </x:c>
    </x:row>
    <x:row r="697">
      <x:c r="C697" s="16" t="e">
        <x:f>VLOOKUP(Tabla2[[#This Row],[CODIGO]],Taller2585[[Código]:[Descripción ]],2,0)</x:f>
        <x:v>#N/A</x:v>
      </x:c>
      <x:c r="D697" s="16" t="e">
        <x:f>VLOOKUP(Tabla2[[#This Row],[CODIGO]],Taller2585[[Código]:[Referencia]],3,0)</x:f>
        <x:v>#N/A</x:v>
      </x:c>
    </x:row>
    <x:row r="698">
      <x:c r="C698" s="16" t="e">
        <x:f>VLOOKUP(Tabla2[[#This Row],[CODIGO]],Taller2585[[Código]:[Descripción ]],2,0)</x:f>
        <x:v>#N/A</x:v>
      </x:c>
      <x:c r="D698" s="16" t="e">
        <x:f>VLOOKUP(Tabla2[[#This Row],[CODIGO]],Taller2585[[Código]:[Referencia]],3,0)</x:f>
        <x:v>#N/A</x:v>
      </x:c>
    </x:row>
    <x:row r="699">
      <x:c r="C699" s="16" t="e">
        <x:f>VLOOKUP(Tabla2[[#This Row],[CODIGO]],Taller2585[[Código]:[Descripción ]],2,0)</x:f>
        <x:v>#N/A</x:v>
      </x:c>
      <x:c r="D699" s="16" t="e">
        <x:f>VLOOKUP(Tabla2[[#This Row],[CODIGO]],Taller2585[[Código]:[Referencia]],3,0)</x:f>
        <x:v>#N/A</x:v>
      </x:c>
    </x:row>
    <x:row r="700">
      <x:c r="C700" s="16" t="e">
        <x:f>VLOOKUP(Tabla2[[#This Row],[CODIGO]],Taller2585[[Código]:[Descripción ]],2,0)</x:f>
        <x:v>#N/A</x:v>
      </x:c>
      <x:c r="D700" s="16" t="e">
        <x:f>VLOOKUP(Tabla2[[#This Row],[CODIGO]],Taller2585[[Código]:[Referencia]],3,0)</x:f>
        <x:v>#N/A</x:v>
      </x:c>
    </x:row>
    <x:row r="701">
      <x:c r="C701" s="16" t="e">
        <x:f>VLOOKUP(Tabla2[[#This Row],[CODIGO]],Taller2585[[Código]:[Descripción ]],2,0)</x:f>
        <x:v>#N/A</x:v>
      </x:c>
      <x:c r="D701" s="16" t="e">
        <x:f>VLOOKUP(Tabla2[[#This Row],[CODIGO]],Taller2585[[Código]:[Referencia]],3,0)</x:f>
        <x:v>#N/A</x:v>
      </x:c>
    </x:row>
    <x:row r="702">
      <x:c r="C702" s="16" t="e">
        <x:f>VLOOKUP(Tabla2[[#This Row],[CODIGO]],Taller2585[[Código]:[Descripción ]],2,0)</x:f>
        <x:v>#N/A</x:v>
      </x:c>
      <x:c r="D702" s="16" t="e">
        <x:f>VLOOKUP(Tabla2[[#This Row],[CODIGO]],Taller2585[[Código]:[Referencia]],3,0)</x:f>
        <x:v>#N/A</x:v>
      </x:c>
    </x:row>
    <x:row r="703">
      <x:c r="C703" s="16" t="e">
        <x:f>VLOOKUP(Tabla2[[#This Row],[CODIGO]],Taller2585[[Código]:[Descripción ]],2,0)</x:f>
        <x:v>#N/A</x:v>
      </x:c>
      <x:c r="D703" s="16" t="e">
        <x:f>VLOOKUP(Tabla2[[#This Row],[CODIGO]],Taller2585[[Código]:[Referencia]],3,0)</x:f>
        <x:v>#N/A</x:v>
      </x:c>
    </x:row>
    <x:row r="704">
      <x:c r="C704" s="16" t="e">
        <x:f>VLOOKUP(Tabla2[[#This Row],[CODIGO]],Taller2585[[Código]:[Descripción ]],2,0)</x:f>
        <x:v>#N/A</x:v>
      </x:c>
      <x:c r="D704" s="16" t="e">
        <x:f>VLOOKUP(Tabla2[[#This Row],[CODIGO]],Taller2585[[Código]:[Referencia]],3,0)</x:f>
        <x:v>#N/A</x:v>
      </x:c>
    </x:row>
    <x:row r="705">
      <x:c r="C705" s="16" t="e">
        <x:f>VLOOKUP(Tabla2[[#This Row],[CODIGO]],Taller2585[[Código]:[Descripción ]],2,0)</x:f>
        <x:v>#N/A</x:v>
      </x:c>
      <x:c r="D705" s="16" t="e">
        <x:f>VLOOKUP(Tabla2[[#This Row],[CODIGO]],Taller2585[[Código]:[Referencia]],3,0)</x:f>
        <x:v>#N/A</x:v>
      </x:c>
    </x:row>
    <x:row r="706">
      <x:c r="C706" s="16" t="e">
        <x:f>VLOOKUP(Tabla2[[#This Row],[CODIGO]],Taller2585[[Código]:[Descripción ]],2,0)</x:f>
        <x:v>#N/A</x:v>
      </x:c>
      <x:c r="D706" s="16" t="e">
        <x:f>VLOOKUP(Tabla2[[#This Row],[CODIGO]],Taller2585[[Código]:[Referencia]],3,0)</x:f>
        <x:v>#N/A</x:v>
      </x:c>
    </x:row>
    <x:row r="707">
      <x:c r="C707" s="16" t="e">
        <x:f>VLOOKUP(Tabla2[[#This Row],[CODIGO]],Taller2585[[Código]:[Descripción ]],2,0)</x:f>
        <x:v>#N/A</x:v>
      </x:c>
      <x:c r="D707" s="16" t="e">
        <x:f>VLOOKUP(Tabla2[[#This Row],[CODIGO]],Taller2585[[Código]:[Referencia]],3,0)</x:f>
        <x:v>#N/A</x:v>
      </x:c>
    </x:row>
    <x:row r="708">
      <x:c r="C708" s="16" t="e">
        <x:f>VLOOKUP(Tabla2[[#This Row],[CODIGO]],Taller2585[[Código]:[Descripción ]],2,0)</x:f>
        <x:v>#N/A</x:v>
      </x:c>
      <x:c r="D708" s="16" t="e">
        <x:f>VLOOKUP(Tabla2[[#This Row],[CODIGO]],Taller2585[[Código]:[Referencia]],3,0)</x:f>
        <x:v>#N/A</x:v>
      </x:c>
    </x:row>
    <x:row r="709">
      <x:c r="C709" s="16" t="e">
        <x:f>VLOOKUP(Tabla2[[#This Row],[CODIGO]],Taller2585[[Código]:[Descripción ]],2,0)</x:f>
        <x:v>#N/A</x:v>
      </x:c>
      <x:c r="D709" s="16" t="e">
        <x:f>VLOOKUP(Tabla2[[#This Row],[CODIGO]],Taller2585[[Código]:[Referencia]],3,0)</x:f>
        <x:v>#N/A</x:v>
      </x:c>
    </x:row>
    <x:row r="710">
      <x:c r="C710" s="16" t="e">
        <x:f>VLOOKUP(Tabla2[[#This Row],[CODIGO]],Taller2585[[Código]:[Descripción ]],2,0)</x:f>
        <x:v>#N/A</x:v>
      </x:c>
      <x:c r="D710" s="16" t="e">
        <x:f>VLOOKUP(Tabla2[[#This Row],[CODIGO]],Taller2585[[Código]:[Referencia]],3,0)</x:f>
        <x:v>#N/A</x:v>
      </x:c>
    </x:row>
    <x:row r="711">
      <x:c r="C711" s="16" t="e">
        <x:f>VLOOKUP(Tabla2[[#This Row],[CODIGO]],Taller2585[[Código]:[Descripción ]],2,0)</x:f>
        <x:v>#N/A</x:v>
      </x:c>
      <x:c r="D711" s="16" t="e">
        <x:f>VLOOKUP(Tabla2[[#This Row],[CODIGO]],Taller2585[[Código]:[Referencia]],3,0)</x:f>
        <x:v>#N/A</x:v>
      </x:c>
    </x:row>
    <x:row r="712">
      <x:c r="C712" s="16" t="e">
        <x:f>VLOOKUP(Tabla2[[#This Row],[CODIGO]],Taller2585[[Código]:[Descripción ]],2,0)</x:f>
        <x:v>#N/A</x:v>
      </x:c>
      <x:c r="D712" s="16" t="e">
        <x:f>VLOOKUP(Tabla2[[#This Row],[CODIGO]],Taller2585[[Código]:[Referencia]],3,0)</x:f>
        <x:v>#N/A</x:v>
      </x:c>
    </x:row>
    <x:row r="713">
      <x:c r="C713" s="16" t="e">
        <x:f>VLOOKUP(Tabla2[[#This Row],[CODIGO]],Taller2585[[Código]:[Descripción ]],2,0)</x:f>
        <x:v>#N/A</x:v>
      </x:c>
      <x:c r="D713" s="16" t="e">
        <x:f>VLOOKUP(Tabla2[[#This Row],[CODIGO]],Taller2585[[Código]:[Referencia]],3,0)</x:f>
        <x:v>#N/A</x:v>
      </x:c>
    </x:row>
    <x:row r="714">
      <x:c r="C714" s="16" t="e">
        <x:f>VLOOKUP(Tabla2[[#This Row],[CODIGO]],Taller2585[[Código]:[Descripción ]],2,0)</x:f>
        <x:v>#N/A</x:v>
      </x:c>
      <x:c r="D714" s="16" t="e">
        <x:f>VLOOKUP(Tabla2[[#This Row],[CODIGO]],Taller2585[[Código]:[Referencia]],3,0)</x:f>
        <x:v>#N/A</x:v>
      </x:c>
    </x:row>
    <x:row r="715">
      <x:c r="C715" s="16" t="e">
        <x:f>VLOOKUP(Tabla2[[#This Row],[CODIGO]],Taller2585[[Código]:[Descripción ]],2,0)</x:f>
        <x:v>#N/A</x:v>
      </x:c>
      <x:c r="D715" s="16" t="e">
        <x:f>VLOOKUP(Tabla2[[#This Row],[CODIGO]],Taller2585[[Código]:[Referencia]],3,0)</x:f>
        <x:v>#N/A</x:v>
      </x:c>
    </x:row>
    <x:row r="716">
      <x:c r="C716" s="16" t="e">
        <x:f>VLOOKUP(Tabla2[[#This Row],[CODIGO]],Taller2585[[Código]:[Descripción ]],2,0)</x:f>
        <x:v>#N/A</x:v>
      </x:c>
      <x:c r="D716" s="16" t="e">
        <x:f>VLOOKUP(Tabla2[[#This Row],[CODIGO]],Taller2585[[Código]:[Referencia]],3,0)</x:f>
        <x:v>#N/A</x:v>
      </x:c>
    </x:row>
    <x:row r="717">
      <x:c r="C717" s="16" t="e">
        <x:f>VLOOKUP(Tabla2[[#This Row],[CODIGO]],Taller2585[[Código]:[Descripción ]],2,0)</x:f>
        <x:v>#N/A</x:v>
      </x:c>
      <x:c r="D717" s="16" t="e">
        <x:f>VLOOKUP(Tabla2[[#This Row],[CODIGO]],Taller2585[[Código]:[Referencia]],3,0)</x:f>
        <x:v>#N/A</x:v>
      </x:c>
    </x:row>
    <x:row r="718">
      <x:c r="C718" s="16" t="e">
        <x:f>VLOOKUP(Tabla2[[#This Row],[CODIGO]],Taller2585[[Código]:[Descripción ]],2,0)</x:f>
        <x:v>#N/A</x:v>
      </x:c>
      <x:c r="D718" s="16" t="e">
        <x:f>VLOOKUP(Tabla2[[#This Row],[CODIGO]],Taller2585[[Código]:[Referencia]],3,0)</x:f>
        <x:v>#N/A</x:v>
      </x:c>
    </x:row>
    <x:row r="719">
      <x:c r="C719" s="16" t="e">
        <x:f>VLOOKUP(Tabla2[[#This Row],[CODIGO]],Taller2585[[Código]:[Descripción ]],2,0)</x:f>
        <x:v>#N/A</x:v>
      </x:c>
      <x:c r="D719" s="16" t="e">
        <x:f>VLOOKUP(Tabla2[[#This Row],[CODIGO]],Taller2585[[Código]:[Referencia]],3,0)</x:f>
        <x:v>#N/A</x:v>
      </x:c>
    </x:row>
    <x:row r="720">
      <x:c r="C720" s="16" t="e">
        <x:f>VLOOKUP(Tabla2[[#This Row],[CODIGO]],Taller2585[[Código]:[Descripción ]],2,0)</x:f>
        <x:v>#N/A</x:v>
      </x:c>
      <x:c r="D720" s="16" t="e">
        <x:f>VLOOKUP(Tabla2[[#This Row],[CODIGO]],Taller2585[[Código]:[Referencia]],3,0)</x:f>
        <x:v>#N/A</x:v>
      </x:c>
    </x:row>
    <x:row r="721">
      <x:c r="C721" s="16" t="e">
        <x:f>VLOOKUP(Tabla2[[#This Row],[CODIGO]],Taller2585[[Código]:[Descripción ]],2,0)</x:f>
        <x:v>#N/A</x:v>
      </x:c>
      <x:c r="D721" s="16" t="e">
        <x:f>VLOOKUP(Tabla2[[#This Row],[CODIGO]],Taller2585[[Código]:[Referencia]],3,0)</x:f>
        <x:v>#N/A</x:v>
      </x:c>
    </x:row>
    <x:row r="722">
      <x:c r="C722" s="16" t="e">
        <x:f>VLOOKUP(Tabla2[[#This Row],[CODIGO]],Taller2585[[Código]:[Descripción ]],2,0)</x:f>
        <x:v>#N/A</x:v>
      </x:c>
      <x:c r="D722" s="16" t="e">
        <x:f>VLOOKUP(Tabla2[[#This Row],[CODIGO]],Taller2585[[Código]:[Referencia]],3,0)</x:f>
        <x:v>#N/A</x:v>
      </x:c>
    </x:row>
    <x:row r="723">
      <x:c r="C723" s="16" t="e">
        <x:f>VLOOKUP(Tabla2[[#This Row],[CODIGO]],Taller2585[[Código]:[Descripción ]],2,0)</x:f>
        <x:v>#N/A</x:v>
      </x:c>
      <x:c r="D723" s="16" t="e">
        <x:f>VLOOKUP(Tabla2[[#This Row],[CODIGO]],Taller2585[[Código]:[Referencia]],3,0)</x:f>
        <x:v>#N/A</x:v>
      </x:c>
    </x:row>
    <x:row r="724">
      <x:c r="C724" s="16" t="e">
        <x:f>VLOOKUP(Tabla2[[#This Row],[CODIGO]],Taller2585[[Código]:[Descripción ]],2,0)</x:f>
        <x:v>#N/A</x:v>
      </x:c>
      <x:c r="D724" s="16" t="e">
        <x:f>VLOOKUP(Tabla2[[#This Row],[CODIGO]],Taller2585[[Código]:[Referencia]],3,0)</x:f>
        <x:v>#N/A</x:v>
      </x:c>
    </x:row>
    <x:row r="725">
      <x:c r="C725" s="16" t="e">
        <x:f>VLOOKUP(Tabla2[[#This Row],[CODIGO]],Taller2585[[Código]:[Descripción ]],2,0)</x:f>
        <x:v>#N/A</x:v>
      </x:c>
      <x:c r="D725" s="16" t="e">
        <x:f>VLOOKUP(Tabla2[[#This Row],[CODIGO]],Taller2585[[Código]:[Referencia]],3,0)</x:f>
        <x:v>#N/A</x:v>
      </x:c>
    </x:row>
    <x:row r="726">
      <x:c r="C726" s="16" t="e">
        <x:f>VLOOKUP(Tabla2[[#This Row],[CODIGO]],Taller2585[[Código]:[Descripción ]],2,0)</x:f>
        <x:v>#N/A</x:v>
      </x:c>
      <x:c r="D726" s="16" t="e">
        <x:f>VLOOKUP(Tabla2[[#This Row],[CODIGO]],Taller2585[[Código]:[Referencia]],3,0)</x:f>
        <x:v>#N/A</x:v>
      </x:c>
    </x:row>
    <x:row r="727">
      <x:c r="C727" s="16" t="e">
        <x:f>VLOOKUP(Tabla2[[#This Row],[CODIGO]],Taller2585[[Código]:[Descripción ]],2,0)</x:f>
        <x:v>#N/A</x:v>
      </x:c>
      <x:c r="D727" s="16" t="e">
        <x:f>VLOOKUP(Tabla2[[#This Row],[CODIGO]],Taller2585[[Código]:[Referencia]],3,0)</x:f>
        <x:v>#N/A</x:v>
      </x:c>
    </x:row>
    <x:row r="728">
      <x:c r="C728" s="16" t="e">
        <x:f>VLOOKUP(Tabla2[[#This Row],[CODIGO]],Taller2585[[Código]:[Descripción ]],2,0)</x:f>
        <x:v>#N/A</x:v>
      </x:c>
      <x:c r="D728" s="16" t="e">
        <x:f>VLOOKUP(Tabla2[[#This Row],[CODIGO]],Taller2585[[Código]:[Referencia]],3,0)</x:f>
        <x:v>#N/A</x:v>
      </x:c>
    </x:row>
    <x:row r="729">
      <x:c r="C729" s="16" t="e">
        <x:f>VLOOKUP(Tabla2[[#This Row],[CODIGO]],Taller2585[[Código]:[Descripción ]],2,0)</x:f>
        <x:v>#N/A</x:v>
      </x:c>
      <x:c r="D729" s="16" t="e">
        <x:f>VLOOKUP(Tabla2[[#This Row],[CODIGO]],Taller2585[[Código]:[Referencia]],3,0)</x:f>
        <x:v>#N/A</x:v>
      </x:c>
    </x:row>
    <x:row r="730">
      <x:c r="C730" s="16" t="e">
        <x:f>VLOOKUP(Tabla2[[#This Row],[CODIGO]],Taller2585[[Código]:[Descripción ]],2,0)</x:f>
        <x:v>#N/A</x:v>
      </x:c>
      <x:c r="D730" s="16" t="e">
        <x:f>VLOOKUP(Tabla2[[#This Row],[CODIGO]],Taller2585[[Código]:[Referencia]],3,0)</x:f>
        <x:v>#N/A</x:v>
      </x:c>
    </x:row>
    <x:row r="731">
      <x:c r="C731" s="16" t="e">
        <x:f>VLOOKUP(Tabla2[[#This Row],[CODIGO]],Taller2585[[Código]:[Descripción ]],2,0)</x:f>
        <x:v>#N/A</x:v>
      </x:c>
      <x:c r="D731" s="16" t="e">
        <x:f>VLOOKUP(Tabla2[[#This Row],[CODIGO]],Taller2585[[Código]:[Referencia]],3,0)</x:f>
        <x:v>#N/A</x:v>
      </x:c>
    </x:row>
    <x:row r="732">
      <x:c r="C732" s="16" t="e">
        <x:f>VLOOKUP(Tabla2[[#This Row],[CODIGO]],Taller2585[[Código]:[Descripción ]],2,0)</x:f>
        <x:v>#N/A</x:v>
      </x:c>
      <x:c r="D732" s="16" t="e">
        <x:f>VLOOKUP(Tabla2[[#This Row],[CODIGO]],Taller2585[[Código]:[Referencia]],3,0)</x:f>
        <x:v>#N/A</x:v>
      </x:c>
    </x:row>
    <x:row r="733">
      <x:c r="C733" s="16" t="e">
        <x:f>VLOOKUP(Tabla2[[#This Row],[CODIGO]],Taller2585[[Código]:[Descripción ]],2,0)</x:f>
        <x:v>#N/A</x:v>
      </x:c>
      <x:c r="D733" s="16" t="e">
        <x:f>VLOOKUP(Tabla2[[#This Row],[CODIGO]],Taller2585[[Código]:[Referencia]],3,0)</x:f>
        <x:v>#N/A</x:v>
      </x:c>
    </x:row>
    <x:row r="734">
      <x:c r="C734" s="16" t="e">
        <x:f>VLOOKUP(Tabla2[[#This Row],[CODIGO]],Taller2585[[Código]:[Descripción ]],2,0)</x:f>
        <x:v>#N/A</x:v>
      </x:c>
      <x:c r="D734" s="16" t="e">
        <x:f>VLOOKUP(Tabla2[[#This Row],[CODIGO]],Taller2585[[Código]:[Referencia]],3,0)</x:f>
        <x:v>#N/A</x:v>
      </x:c>
    </x:row>
    <x:row r="735">
      <x:c r="C735" s="16" t="e">
        <x:f>VLOOKUP(Tabla2[[#This Row],[CODIGO]],Taller2585[[Código]:[Descripción ]],2,0)</x:f>
        <x:v>#N/A</x:v>
      </x:c>
      <x:c r="D735" s="16" t="e">
        <x:f>VLOOKUP(Tabla2[[#This Row],[CODIGO]],Taller2585[[Código]:[Referencia]],3,0)</x:f>
        <x:v>#N/A</x:v>
      </x:c>
    </x:row>
    <x:row r="736">
      <x:c r="C736" s="16" t="e">
        <x:f>VLOOKUP(Tabla2[[#This Row],[CODIGO]],Taller2585[[Código]:[Descripción ]],2,0)</x:f>
        <x:v>#N/A</x:v>
      </x:c>
      <x:c r="D736" s="16" t="e">
        <x:f>VLOOKUP(Tabla2[[#This Row],[CODIGO]],Taller2585[[Código]:[Referencia]],3,0)</x:f>
        <x:v>#N/A</x:v>
      </x:c>
    </x:row>
    <x:row r="737">
      <x:c r="C737" s="16" t="e">
        <x:f>VLOOKUP(Tabla2[[#This Row],[CODIGO]],Taller2585[[Código]:[Descripción ]],2,0)</x:f>
        <x:v>#N/A</x:v>
      </x:c>
      <x:c r="D737" s="16" t="e">
        <x:f>VLOOKUP(Tabla2[[#This Row],[CODIGO]],Taller2585[[Código]:[Referencia]],3,0)</x:f>
        <x:v>#N/A</x:v>
      </x:c>
    </x:row>
    <x:row r="738">
      <x:c r="C738" s="16" t="e">
        <x:f>VLOOKUP(Tabla2[[#This Row],[CODIGO]],Taller2585[[Código]:[Descripción ]],2,0)</x:f>
        <x:v>#N/A</x:v>
      </x:c>
      <x:c r="D738" s="16" t="e">
        <x:f>VLOOKUP(Tabla2[[#This Row],[CODIGO]],Taller2585[[Código]:[Referencia]],3,0)</x:f>
        <x:v>#N/A</x:v>
      </x:c>
    </x:row>
    <x:row r="739">
      <x:c r="C739" s="16" t="e">
        <x:f>VLOOKUP(Tabla2[[#This Row],[CODIGO]],Taller2585[[Código]:[Descripción ]],2,0)</x:f>
        <x:v>#N/A</x:v>
      </x:c>
      <x:c r="D739" s="16" t="e">
        <x:f>VLOOKUP(Tabla2[[#This Row],[CODIGO]],Taller2585[[Código]:[Referencia]],3,0)</x:f>
        <x:v>#N/A</x:v>
      </x:c>
    </x:row>
    <x:row r="740">
      <x:c r="C740" s="16" t="e">
        <x:f>VLOOKUP(Tabla2[[#This Row],[CODIGO]],Taller2585[[Código]:[Descripción ]],2,0)</x:f>
        <x:v>#N/A</x:v>
      </x:c>
      <x:c r="D740" s="16" t="e">
        <x:f>VLOOKUP(Tabla2[[#This Row],[CODIGO]],Taller2585[[Código]:[Referencia]],3,0)</x:f>
        <x:v>#N/A</x:v>
      </x:c>
    </x:row>
    <x:row r="741">
      <x:c r="C741" s="16" t="e">
        <x:f>VLOOKUP(Tabla2[[#This Row],[CODIGO]],Taller2585[[Código]:[Descripción ]],2,0)</x:f>
        <x:v>#N/A</x:v>
      </x:c>
      <x:c r="D741" s="16" t="e">
        <x:f>VLOOKUP(Tabla2[[#This Row],[CODIGO]],Taller2585[[Código]:[Referencia]],3,0)</x:f>
        <x:v>#N/A</x:v>
      </x:c>
    </x:row>
    <x:row r="742">
      <x:c r="C742" s="16" t="e">
        <x:f>VLOOKUP(Tabla2[[#This Row],[CODIGO]],Taller2585[[Código]:[Descripción ]],2,0)</x:f>
        <x:v>#N/A</x:v>
      </x:c>
      <x:c r="D742" s="16" t="e">
        <x:f>VLOOKUP(Tabla2[[#This Row],[CODIGO]],Taller2585[[Código]:[Referencia]],3,0)</x:f>
        <x:v>#N/A</x:v>
      </x:c>
    </x:row>
    <x:row r="743">
      <x:c r="C743" s="16" t="e">
        <x:f>VLOOKUP(Tabla2[[#This Row],[CODIGO]],Taller2585[[Código]:[Descripción ]],2,0)</x:f>
        <x:v>#N/A</x:v>
      </x:c>
      <x:c r="D743" s="16" t="e">
        <x:f>VLOOKUP(Tabla2[[#This Row],[CODIGO]],Taller2585[[Código]:[Referencia]],3,0)</x:f>
        <x:v>#N/A</x:v>
      </x:c>
    </x:row>
    <x:row r="744">
      <x:c r="C744" s="16" t="e">
        <x:f>VLOOKUP(Tabla2[[#This Row],[CODIGO]],Taller2585[[Código]:[Descripción ]],2,0)</x:f>
        <x:v>#N/A</x:v>
      </x:c>
      <x:c r="D744" s="16" t="e">
        <x:f>VLOOKUP(Tabla2[[#This Row],[CODIGO]],Taller2585[[Código]:[Referencia]],3,0)</x:f>
        <x:v>#N/A</x:v>
      </x:c>
    </x:row>
    <x:row r="745">
      <x:c r="C745" s="16" t="e">
        <x:f>VLOOKUP(Tabla2[[#This Row],[CODIGO]],Taller2585[[Código]:[Descripción ]],2,0)</x:f>
        <x:v>#N/A</x:v>
      </x:c>
      <x:c r="D745" s="16" t="e">
        <x:f>VLOOKUP(Tabla2[[#This Row],[CODIGO]],Taller2585[[Código]:[Referencia]],3,0)</x:f>
        <x:v>#N/A</x:v>
      </x:c>
    </x:row>
    <x:row r="746">
      <x:c r="C746" s="16" t="e">
        <x:f>VLOOKUP(Tabla2[[#This Row],[CODIGO]],Taller2585[[Código]:[Descripción ]],2,0)</x:f>
        <x:v>#N/A</x:v>
      </x:c>
      <x:c r="D746" s="16" t="e">
        <x:f>VLOOKUP(Tabla2[[#This Row],[CODIGO]],Taller2585[[Código]:[Referencia]],3,0)</x:f>
        <x:v>#N/A</x:v>
      </x:c>
    </x:row>
    <x:row r="747">
      <x:c r="C747" s="16" t="e">
        <x:f>VLOOKUP(Tabla2[[#This Row],[CODIGO]],Taller2585[[Código]:[Descripción ]],2,0)</x:f>
        <x:v>#N/A</x:v>
      </x:c>
      <x:c r="D747" s="16" t="e">
        <x:f>VLOOKUP(Tabla2[[#This Row],[CODIGO]],Taller2585[[Código]:[Referencia]],3,0)</x:f>
        <x:v>#N/A</x:v>
      </x:c>
    </x:row>
    <x:row r="748">
      <x:c r="C748" s="16" t="e">
        <x:f>VLOOKUP(Tabla2[[#This Row],[CODIGO]],Taller2585[[Código]:[Descripción ]],2,0)</x:f>
        <x:v>#N/A</x:v>
      </x:c>
      <x:c r="D748" s="16" t="e">
        <x:f>VLOOKUP(Tabla2[[#This Row],[CODIGO]],Taller2585[[Código]:[Referencia]],3,0)</x:f>
        <x:v>#N/A</x:v>
      </x:c>
    </x:row>
    <x:row r="749">
      <x:c r="C749" s="16" t="e">
        <x:f>VLOOKUP(Tabla2[[#This Row],[CODIGO]],Taller2585[[Código]:[Descripción ]],2,0)</x:f>
        <x:v>#N/A</x:v>
      </x:c>
      <x:c r="D749" s="16" t="e">
        <x:f>VLOOKUP(Tabla2[[#This Row],[CODIGO]],Taller2585[[Código]:[Referencia]],3,0)</x:f>
        <x:v>#N/A</x:v>
      </x:c>
    </x:row>
    <x:row r="750">
      <x:c r="C750" s="16" t="e">
        <x:f>VLOOKUP(Tabla2[[#This Row],[CODIGO]],Taller2585[[Código]:[Descripción ]],2,0)</x:f>
        <x:v>#N/A</x:v>
      </x:c>
      <x:c r="D750" s="16" t="e">
        <x:f>VLOOKUP(Tabla2[[#This Row],[CODIGO]],Taller2585[[Código]:[Referencia]],3,0)</x:f>
        <x:v>#N/A</x:v>
      </x:c>
    </x:row>
    <x:row r="751">
      <x:c r="C751" s="16" t="e">
        <x:f>VLOOKUP(Tabla2[[#This Row],[CODIGO]],Taller2585[[Código]:[Descripción ]],2,0)</x:f>
        <x:v>#N/A</x:v>
      </x:c>
      <x:c r="D751" s="16" t="e">
        <x:f>VLOOKUP(Tabla2[[#This Row],[CODIGO]],Taller2585[[Código]:[Referencia]],3,0)</x:f>
        <x:v>#N/A</x:v>
      </x:c>
    </x:row>
    <x:row r="752">
      <x:c r="C752" s="16" t="e">
        <x:f>VLOOKUP(Tabla2[[#This Row],[CODIGO]],Taller2585[[Código]:[Descripción ]],2,0)</x:f>
        <x:v>#N/A</x:v>
      </x:c>
      <x:c r="D752" s="16" t="e">
        <x:f>VLOOKUP(Tabla2[[#This Row],[CODIGO]],Taller2585[[Código]:[Referencia]],3,0)</x:f>
        <x:v>#N/A</x:v>
      </x:c>
    </x:row>
    <x:row r="753">
      <x:c r="C753" s="16" t="e">
        <x:f>VLOOKUP(Tabla2[[#This Row],[CODIGO]],Taller2585[[Código]:[Descripción ]],2,0)</x:f>
        <x:v>#N/A</x:v>
      </x:c>
      <x:c r="D753" s="16" t="e">
        <x:f>VLOOKUP(Tabla2[[#This Row],[CODIGO]],Taller2585[[Código]:[Referencia]],3,0)</x:f>
        <x:v>#N/A</x:v>
      </x:c>
    </x:row>
    <x:row r="754">
      <x:c r="C754" s="16" t="e">
        <x:f>VLOOKUP(Tabla2[[#This Row],[CODIGO]],Taller2585[[Código]:[Descripción ]],2,0)</x:f>
        <x:v>#N/A</x:v>
      </x:c>
      <x:c r="D754" s="16" t="e">
        <x:f>VLOOKUP(Tabla2[[#This Row],[CODIGO]],Taller2585[[Código]:[Referencia]],3,0)</x:f>
        <x:v>#N/A</x:v>
      </x:c>
    </x:row>
    <x:row r="755">
      <x:c r="C755" s="16" t="e">
        <x:f>VLOOKUP(Tabla2[[#This Row],[CODIGO]],Taller2585[[Código]:[Descripción ]],2,0)</x:f>
        <x:v>#N/A</x:v>
      </x:c>
      <x:c r="D755" s="16" t="e">
        <x:f>VLOOKUP(Tabla2[[#This Row],[CODIGO]],Taller2585[[Código]:[Referencia]],3,0)</x:f>
        <x:v>#N/A</x:v>
      </x:c>
    </x:row>
    <x:row r="756">
      <x:c r="C756" s="16" t="e">
        <x:f>VLOOKUP(Tabla2[[#This Row],[CODIGO]],Taller2585[[Código]:[Descripción ]],2,0)</x:f>
        <x:v>#N/A</x:v>
      </x:c>
      <x:c r="D756" s="16" t="e">
        <x:f>VLOOKUP(Tabla2[[#This Row],[CODIGO]],Taller2585[[Código]:[Referencia]],3,0)</x:f>
        <x:v>#N/A</x:v>
      </x:c>
    </x:row>
    <x:row r="757">
      <x:c r="C757" s="16" t="e">
        <x:f>VLOOKUP(Tabla2[[#This Row],[CODIGO]],Taller2585[[Código]:[Descripción ]],2,0)</x:f>
        <x:v>#N/A</x:v>
      </x:c>
      <x:c r="D757" s="16" t="e">
        <x:f>VLOOKUP(Tabla2[[#This Row],[CODIGO]],Taller2585[[Código]:[Referencia]],3,0)</x:f>
        <x:v>#N/A</x:v>
      </x:c>
    </x:row>
    <x:row r="758">
      <x:c r="C758" s="16" t="e">
        <x:f>VLOOKUP(Tabla2[[#This Row],[CODIGO]],Taller2585[[Código]:[Descripción ]],2,0)</x:f>
        <x:v>#N/A</x:v>
      </x:c>
      <x:c r="D758" s="16" t="e">
        <x:f>VLOOKUP(Tabla2[[#This Row],[CODIGO]],Taller2585[[Código]:[Referencia]],3,0)</x:f>
        <x:v>#N/A</x:v>
      </x:c>
    </x:row>
    <x:row r="759">
      <x:c r="C759" s="16" t="e">
        <x:f>VLOOKUP(Tabla2[[#This Row],[CODIGO]],Taller2585[[Código]:[Descripción ]],2,0)</x:f>
        <x:v>#N/A</x:v>
      </x:c>
      <x:c r="D759" s="16" t="e">
        <x:f>VLOOKUP(Tabla2[[#This Row],[CODIGO]],Taller2585[[Código]:[Referencia]],3,0)</x:f>
        <x:v>#N/A</x:v>
      </x:c>
    </x:row>
    <x:row r="760">
      <x:c r="C760" s="16" t="e">
        <x:f>VLOOKUP(Tabla2[[#This Row],[CODIGO]],Taller2585[[Código]:[Descripción ]],2,0)</x:f>
        <x:v>#N/A</x:v>
      </x:c>
      <x:c r="D760" s="16" t="e">
        <x:f>VLOOKUP(Tabla2[[#This Row],[CODIGO]],Taller2585[[Código]:[Referencia]],3,0)</x:f>
        <x:v>#N/A</x:v>
      </x:c>
    </x:row>
    <x:row r="761">
      <x:c r="C761" s="16" t="e">
        <x:f>VLOOKUP(Tabla2[[#This Row],[CODIGO]],Taller2585[[Código]:[Descripción ]],2,0)</x:f>
        <x:v>#N/A</x:v>
      </x:c>
      <x:c r="D761" s="16" t="e">
        <x:f>VLOOKUP(Tabla2[[#This Row],[CODIGO]],Taller2585[[Código]:[Referencia]],3,0)</x:f>
        <x:v>#N/A</x:v>
      </x:c>
    </x:row>
    <x:row r="762">
      <x:c r="C762" s="16" t="e">
        <x:f>VLOOKUP(Tabla2[[#This Row],[CODIGO]],Taller2585[[Código]:[Descripción ]],2,0)</x:f>
        <x:v>#N/A</x:v>
      </x:c>
      <x:c r="D762" s="16" t="e">
        <x:f>VLOOKUP(Tabla2[[#This Row],[CODIGO]],Taller2585[[Código]:[Referencia]],3,0)</x:f>
        <x:v>#N/A</x:v>
      </x:c>
    </x:row>
    <x:row r="763">
      <x:c r="C763" s="16" t="e">
        <x:f>VLOOKUP(Tabla2[[#This Row],[CODIGO]],Taller2585[[Código]:[Descripción ]],2,0)</x:f>
        <x:v>#N/A</x:v>
      </x:c>
      <x:c r="D763" s="16" t="e">
        <x:f>VLOOKUP(Tabla2[[#This Row],[CODIGO]],Taller2585[[Código]:[Referencia]],3,0)</x:f>
        <x:v>#N/A</x:v>
      </x:c>
    </x:row>
    <x:row r="764">
      <x:c r="C764" s="16" t="e">
        <x:f>VLOOKUP(Tabla2[[#This Row],[CODIGO]],Taller2585[[Código]:[Descripción ]],2,0)</x:f>
        <x:v>#N/A</x:v>
      </x:c>
      <x:c r="D764" s="16" t="e">
        <x:f>VLOOKUP(Tabla2[[#This Row],[CODIGO]],Taller2585[[Código]:[Referencia]],3,0)</x:f>
        <x:v>#N/A</x:v>
      </x:c>
    </x:row>
    <x:row r="765">
      <x:c r="C765" s="16" t="e">
        <x:f>VLOOKUP(Tabla2[[#This Row],[CODIGO]],Taller2585[[Código]:[Descripción ]],2,0)</x:f>
        <x:v>#N/A</x:v>
      </x:c>
      <x:c r="D765" s="16" t="e">
        <x:f>VLOOKUP(Tabla2[[#This Row],[CODIGO]],Taller2585[[Código]:[Referencia]],3,0)</x:f>
        <x:v>#N/A</x:v>
      </x:c>
    </x:row>
    <x:row r="766">
      <x:c r="C766" s="16" t="e">
        <x:f>VLOOKUP(Tabla2[[#This Row],[CODIGO]],Taller2585[[Código]:[Descripción ]],2,0)</x:f>
        <x:v>#N/A</x:v>
      </x:c>
      <x:c r="D766" s="16" t="e">
        <x:f>VLOOKUP(Tabla2[[#This Row],[CODIGO]],Taller2585[[Código]:[Referencia]],3,0)</x:f>
        <x:v>#N/A</x:v>
      </x:c>
    </x:row>
    <x:row r="767">
      <x:c r="C767" s="16" t="e">
        <x:f>VLOOKUP(Tabla2[[#This Row],[CODIGO]],Taller2585[[Código]:[Descripción ]],2,0)</x:f>
        <x:v>#N/A</x:v>
      </x:c>
      <x:c r="D767" s="16" t="e">
        <x:f>VLOOKUP(Tabla2[[#This Row],[CODIGO]],Taller2585[[Código]:[Referencia]],3,0)</x:f>
        <x:v>#N/A</x:v>
      </x:c>
    </x:row>
    <x:row r="768">
      <x:c r="C768" s="16" t="e">
        <x:f>VLOOKUP(Tabla2[[#This Row],[CODIGO]],Taller2585[[Código]:[Descripción ]],2,0)</x:f>
        <x:v>#N/A</x:v>
      </x:c>
      <x:c r="D768" s="16" t="e">
        <x:f>VLOOKUP(Tabla2[[#This Row],[CODIGO]],Taller2585[[Código]:[Referencia]],3,0)</x:f>
        <x:v>#N/A</x:v>
      </x:c>
    </x:row>
    <x:row r="769">
      <x:c r="C769" s="16" t="e">
        <x:f>VLOOKUP(Tabla2[[#This Row],[CODIGO]],Taller2585[[Código]:[Descripción ]],2,0)</x:f>
        <x:v>#N/A</x:v>
      </x:c>
      <x:c r="D769" s="16" t="e">
        <x:f>VLOOKUP(Tabla2[[#This Row],[CODIGO]],Taller2585[[Código]:[Referencia]],3,0)</x:f>
        <x:v>#N/A</x:v>
      </x:c>
    </x:row>
    <x:row r="770">
      <x:c r="C770" s="16" t="e">
        <x:f>VLOOKUP(Tabla2[[#This Row],[CODIGO]],Taller2585[[Código]:[Descripción ]],2,0)</x:f>
        <x:v>#N/A</x:v>
      </x:c>
      <x:c r="D770" s="16" t="e">
        <x:f>VLOOKUP(Tabla2[[#This Row],[CODIGO]],Taller2585[[Código]:[Referencia]],3,0)</x:f>
        <x:v>#N/A</x:v>
      </x:c>
    </x:row>
    <x:row r="771">
      <x:c r="C771" s="16" t="e">
        <x:f>VLOOKUP(Tabla2[[#This Row],[CODIGO]],Taller2585[[Código]:[Descripción ]],2,0)</x:f>
        <x:v>#N/A</x:v>
      </x:c>
      <x:c r="D771" s="16" t="e">
        <x:f>VLOOKUP(Tabla2[[#This Row],[CODIGO]],Taller2585[[Código]:[Referencia]],3,0)</x:f>
        <x:v>#N/A</x:v>
      </x:c>
    </x:row>
    <x:row r="772">
      <x:c r="C772" s="16" t="e">
        <x:f>VLOOKUP(Tabla2[[#This Row],[CODIGO]],Taller2585[[Código]:[Descripción ]],2,0)</x:f>
        <x:v>#N/A</x:v>
      </x:c>
      <x:c r="D772" s="16" t="e">
        <x:f>VLOOKUP(Tabla2[[#This Row],[CODIGO]],Taller2585[[Código]:[Referencia]],3,0)</x:f>
        <x:v>#N/A</x:v>
      </x:c>
    </x:row>
    <x:row r="773">
      <x:c r="C773" s="16" t="e">
        <x:f>VLOOKUP(Tabla2[[#This Row],[CODIGO]],Taller2585[[Código]:[Descripción ]],2,0)</x:f>
        <x:v>#N/A</x:v>
      </x:c>
      <x:c r="D773" s="16" t="e">
        <x:f>VLOOKUP(Tabla2[[#This Row],[CODIGO]],Taller2585[[Código]:[Referencia]],3,0)</x:f>
        <x:v>#N/A</x:v>
      </x:c>
    </x:row>
    <x:row r="774">
      <x:c r="C774" s="16" t="e">
        <x:f>VLOOKUP(Tabla2[[#This Row],[CODIGO]],Taller2585[[Código]:[Descripción ]],2,0)</x:f>
        <x:v>#N/A</x:v>
      </x:c>
      <x:c r="D774" s="16" t="e">
        <x:f>VLOOKUP(Tabla2[[#This Row],[CODIGO]],Taller2585[[Código]:[Referencia]],3,0)</x:f>
        <x:v>#N/A</x:v>
      </x:c>
    </x:row>
    <x:row r="775">
      <x:c r="C775" s="16" t="e">
        <x:f>VLOOKUP(Tabla2[[#This Row],[CODIGO]],Taller2585[[Código]:[Descripción ]],2,0)</x:f>
        <x:v>#N/A</x:v>
      </x:c>
      <x:c r="D775" s="16" t="e">
        <x:f>VLOOKUP(Tabla2[[#This Row],[CODIGO]],Taller2585[[Código]:[Referencia]],3,0)</x:f>
        <x:v>#N/A</x:v>
      </x:c>
    </x:row>
    <x:row r="776">
      <x:c r="C776" s="16" t="e">
        <x:f>VLOOKUP(Tabla2[[#This Row],[CODIGO]],Taller2585[[Código]:[Descripción ]],2,0)</x:f>
        <x:v>#N/A</x:v>
      </x:c>
      <x:c r="D776" s="16" t="e">
        <x:f>VLOOKUP(Tabla2[[#This Row],[CODIGO]],Taller2585[[Código]:[Referencia]],3,0)</x:f>
        <x:v>#N/A</x:v>
      </x:c>
    </x:row>
    <x:row r="777">
      <x:c r="C777" s="16" t="e">
        <x:f>VLOOKUP(Tabla2[[#This Row],[CODIGO]],Taller2585[[Código]:[Descripción ]],2,0)</x:f>
        <x:v>#N/A</x:v>
      </x:c>
      <x:c r="D777" s="16" t="e">
        <x:f>VLOOKUP(Tabla2[[#This Row],[CODIGO]],Taller2585[[Código]:[Referencia]],3,0)</x:f>
        <x:v>#N/A</x:v>
      </x:c>
    </x:row>
    <x:row r="778">
      <x:c r="C778" s="16" t="e">
        <x:f>VLOOKUP(Tabla2[[#This Row],[CODIGO]],Taller2585[[Código]:[Descripción ]],2,0)</x:f>
        <x:v>#N/A</x:v>
      </x:c>
      <x:c r="D778" s="16" t="e">
        <x:f>VLOOKUP(Tabla2[[#This Row],[CODIGO]],Taller2585[[Código]:[Referencia]],3,0)</x:f>
        <x:v>#N/A</x:v>
      </x:c>
    </x:row>
    <x:row r="779">
      <x:c r="C779" s="16" t="e">
        <x:f>VLOOKUP(Tabla2[[#This Row],[CODIGO]],Taller2585[[Código]:[Descripción ]],2,0)</x:f>
        <x:v>#N/A</x:v>
      </x:c>
      <x:c r="D779" s="16" t="e">
        <x:f>VLOOKUP(Tabla2[[#This Row],[CODIGO]],Taller2585[[Código]:[Referencia]],3,0)</x:f>
        <x:v>#N/A</x:v>
      </x:c>
    </x:row>
    <x:row r="780">
      <x:c r="C780" s="16" t="e">
        <x:f>VLOOKUP(Tabla2[[#This Row],[CODIGO]],Taller2585[[Código]:[Descripción ]],2,0)</x:f>
        <x:v>#N/A</x:v>
      </x:c>
      <x:c r="D780" s="16" t="e">
        <x:f>VLOOKUP(Tabla2[[#This Row],[CODIGO]],Taller2585[[Código]:[Referencia]],3,0)</x:f>
        <x:v>#N/A</x:v>
      </x:c>
    </x:row>
    <x:row r="781">
      <x:c r="C781" s="16" t="e">
        <x:f>VLOOKUP(Tabla2[[#This Row],[CODIGO]],Taller2585[[Código]:[Descripción ]],2,0)</x:f>
        <x:v>#N/A</x:v>
      </x:c>
      <x:c r="D781" s="16" t="e">
        <x:f>VLOOKUP(Tabla2[[#This Row],[CODIGO]],Taller2585[[Código]:[Referencia]],3,0)</x:f>
        <x:v>#N/A</x:v>
      </x:c>
    </x:row>
    <x:row r="782">
      <x:c r="C782" s="16" t="e">
        <x:f>VLOOKUP(Tabla2[[#This Row],[CODIGO]],Taller2585[[Código]:[Descripción ]],2,0)</x:f>
        <x:v>#N/A</x:v>
      </x:c>
      <x:c r="D782" s="16" t="e">
        <x:f>VLOOKUP(Tabla2[[#This Row],[CODIGO]],Taller2585[[Código]:[Referencia]],3,0)</x:f>
        <x:v>#N/A</x:v>
      </x:c>
    </x:row>
    <x:row r="783">
      <x:c r="C783" s="16" t="e">
        <x:f>VLOOKUP(Tabla2[[#This Row],[CODIGO]],Taller2585[[Código]:[Descripción ]],2,0)</x:f>
        <x:v>#N/A</x:v>
      </x:c>
      <x:c r="D783" s="16" t="e">
        <x:f>VLOOKUP(Tabla2[[#This Row],[CODIGO]],Taller2585[[Código]:[Referencia]],3,0)</x:f>
        <x:v>#N/A</x:v>
      </x:c>
    </x:row>
    <x:row r="784">
      <x:c r="C784" s="16" t="e">
        <x:f>VLOOKUP(Tabla2[[#This Row],[CODIGO]],Taller2585[[Código]:[Descripción ]],2,0)</x:f>
        <x:v>#N/A</x:v>
      </x:c>
      <x:c r="D784" s="16" t="e">
        <x:f>VLOOKUP(Tabla2[[#This Row],[CODIGO]],Taller2585[[Código]:[Referencia]],3,0)</x:f>
        <x:v>#N/A</x:v>
      </x:c>
    </x:row>
    <x:row r="785">
      <x:c r="C785" s="16" t="e">
        <x:f>VLOOKUP(Tabla2[[#This Row],[CODIGO]],Taller2585[[Código]:[Descripción ]],2,0)</x:f>
        <x:v>#N/A</x:v>
      </x:c>
      <x:c r="D785" s="16" t="e">
        <x:f>VLOOKUP(Tabla2[[#This Row],[CODIGO]],Taller2585[[Código]:[Referencia]],3,0)</x:f>
        <x:v>#N/A</x:v>
      </x:c>
    </x:row>
    <x:row r="786">
      <x:c r="C786" s="16" t="e">
        <x:f>VLOOKUP(Tabla2[[#This Row],[CODIGO]],Taller2585[[Código]:[Descripción ]],2,0)</x:f>
        <x:v>#N/A</x:v>
      </x:c>
      <x:c r="D786" s="16" t="e">
        <x:f>VLOOKUP(Tabla2[[#This Row],[CODIGO]],Taller2585[[Código]:[Referencia]],3,0)</x:f>
        <x:v>#N/A</x:v>
      </x:c>
    </x:row>
    <x:row r="787">
      <x:c r="C787" s="16" t="e">
        <x:f>VLOOKUP(Tabla2[[#This Row],[CODIGO]],Taller2585[[Código]:[Descripción ]],2,0)</x:f>
        <x:v>#N/A</x:v>
      </x:c>
      <x:c r="D787" s="16" t="e">
        <x:f>VLOOKUP(Tabla2[[#This Row],[CODIGO]],Taller2585[[Código]:[Referencia]],3,0)</x:f>
        <x:v>#N/A</x:v>
      </x:c>
    </x:row>
    <x:row r="788">
      <x:c r="C788" s="16" t="e">
        <x:f>VLOOKUP(Tabla2[[#This Row],[CODIGO]],Taller2585[[Código]:[Descripción ]],2,0)</x:f>
        <x:v>#N/A</x:v>
      </x:c>
      <x:c r="D788" s="16" t="e">
        <x:f>VLOOKUP(Tabla2[[#This Row],[CODIGO]],Taller2585[[Código]:[Referencia]],3,0)</x:f>
        <x:v>#N/A</x:v>
      </x:c>
    </x:row>
    <x:row r="789">
      <x:c r="C789" s="16" t="e">
        <x:f>VLOOKUP(Tabla2[[#This Row],[CODIGO]],Taller2585[[Código]:[Descripción ]],2,0)</x:f>
        <x:v>#N/A</x:v>
      </x:c>
      <x:c r="D789" s="16" t="e">
        <x:f>VLOOKUP(Tabla2[[#This Row],[CODIGO]],Taller2585[[Código]:[Referencia]],3,0)</x:f>
        <x:v>#N/A</x:v>
      </x:c>
    </x:row>
    <x:row r="790">
      <x:c r="C790" s="16" t="e">
        <x:f>VLOOKUP(Tabla2[[#This Row],[CODIGO]],Taller2585[[Código]:[Descripción ]],2,0)</x:f>
        <x:v>#N/A</x:v>
      </x:c>
      <x:c r="D790" s="16" t="e">
        <x:f>VLOOKUP(Tabla2[[#This Row],[CODIGO]],Taller2585[[Código]:[Referencia]],3,0)</x:f>
        <x:v>#N/A</x:v>
      </x:c>
    </x:row>
    <x:row r="791">
      <x:c r="C791" s="16" t="e">
        <x:f>VLOOKUP(Tabla2[[#This Row],[CODIGO]],Taller2585[[Código]:[Descripción ]],2,0)</x:f>
        <x:v>#N/A</x:v>
      </x:c>
      <x:c r="D791" s="16" t="e">
        <x:f>VLOOKUP(Tabla2[[#This Row],[CODIGO]],Taller2585[[Código]:[Referencia]],3,0)</x:f>
        <x:v>#N/A</x:v>
      </x:c>
    </x:row>
    <x:row r="792">
      <x:c r="C792" s="16" t="e">
        <x:f>VLOOKUP(Tabla2[[#This Row],[CODIGO]],Taller2585[[Código]:[Descripción ]],2,0)</x:f>
        <x:v>#N/A</x:v>
      </x:c>
      <x:c r="D792" s="16" t="e">
        <x:f>VLOOKUP(Tabla2[[#This Row],[CODIGO]],Taller2585[[Código]:[Referencia]],3,0)</x:f>
        <x:v>#N/A</x:v>
      </x:c>
    </x:row>
    <x:row r="793">
      <x:c r="C793" s="16" t="e">
        <x:f>VLOOKUP(Tabla2[[#This Row],[CODIGO]],Taller2585[[Código]:[Descripción ]],2,0)</x:f>
        <x:v>#N/A</x:v>
      </x:c>
      <x:c r="D793" s="16" t="e">
        <x:f>VLOOKUP(Tabla2[[#This Row],[CODIGO]],Taller2585[[Código]:[Referencia]],3,0)</x:f>
        <x:v>#N/A</x:v>
      </x:c>
    </x:row>
    <x:row r="794">
      <x:c r="C794" s="16" t="e">
        <x:f>VLOOKUP(Tabla2[[#This Row],[CODIGO]],Taller2585[[Código]:[Descripción ]],2,0)</x:f>
        <x:v>#N/A</x:v>
      </x:c>
      <x:c r="D794" s="16" t="e">
        <x:f>VLOOKUP(Tabla2[[#This Row],[CODIGO]],Taller2585[[Código]:[Referencia]],3,0)</x:f>
        <x:v>#N/A</x:v>
      </x:c>
    </x:row>
    <x:row r="795">
      <x:c r="C795" s="16" t="e">
        <x:f>VLOOKUP(Tabla2[[#This Row],[CODIGO]],Taller2585[[Código]:[Descripción ]],2,0)</x:f>
        <x:v>#N/A</x:v>
      </x:c>
      <x:c r="D795" s="16" t="e">
        <x:f>VLOOKUP(Tabla2[[#This Row],[CODIGO]],Taller2585[[Código]:[Referencia]],3,0)</x:f>
        <x:v>#N/A</x:v>
      </x:c>
    </x:row>
    <x:row r="796">
      <x:c r="C796" s="16" t="e">
        <x:f>VLOOKUP(Tabla2[[#This Row],[CODIGO]],Taller2585[[Código]:[Descripción ]],2,0)</x:f>
        <x:v>#N/A</x:v>
      </x:c>
      <x:c r="D796" s="16" t="e">
        <x:f>VLOOKUP(Tabla2[[#This Row],[CODIGO]],Taller2585[[Código]:[Referencia]],3,0)</x:f>
        <x:v>#N/A</x:v>
      </x:c>
    </x:row>
    <x:row r="797">
      <x:c r="C797" s="16" t="e">
        <x:f>VLOOKUP(Tabla2[[#This Row],[CODIGO]],Taller2585[[Código]:[Descripción ]],2,0)</x:f>
        <x:v>#N/A</x:v>
      </x:c>
      <x:c r="D797" s="16" t="e">
        <x:f>VLOOKUP(Tabla2[[#This Row],[CODIGO]],Taller2585[[Código]:[Referencia]],3,0)</x:f>
        <x:v>#N/A</x:v>
      </x:c>
    </x:row>
    <x:row r="798">
      <x:c r="C798" s="16" t="e">
        <x:f>VLOOKUP(Tabla2[[#This Row],[CODIGO]],Taller2585[[Código]:[Descripción ]],2,0)</x:f>
        <x:v>#N/A</x:v>
      </x:c>
      <x:c r="D798" s="16" t="e">
        <x:f>VLOOKUP(Tabla2[[#This Row],[CODIGO]],Taller2585[[Código]:[Referencia]],3,0)</x:f>
        <x:v>#N/A</x:v>
      </x:c>
    </x:row>
    <x:row r="799">
      <x:c r="C799" s="16" t="e">
        <x:f>VLOOKUP(Tabla2[[#This Row],[CODIGO]],Taller2585[[Código]:[Descripción ]],2,0)</x:f>
        <x:v>#N/A</x:v>
      </x:c>
      <x:c r="D799" s="16" t="e">
        <x:f>VLOOKUP(Tabla2[[#This Row],[CODIGO]],Taller2585[[Código]:[Referencia]],3,0)</x:f>
        <x:v>#N/A</x:v>
      </x:c>
    </x:row>
    <x:row r="800">
      <x:c r="C800" s="16" t="e">
        <x:f>VLOOKUP(Tabla2[[#This Row],[CODIGO]],Taller2585[[Código]:[Descripción ]],2,0)</x:f>
        <x:v>#N/A</x:v>
      </x:c>
      <x:c r="D800" s="16" t="e">
        <x:f>VLOOKUP(Tabla2[[#This Row],[CODIGO]],Taller2585[[Código]:[Referencia]],3,0)</x:f>
        <x:v>#N/A</x:v>
      </x:c>
    </x:row>
    <x:row r="801">
      <x:c r="C801" s="16" t="e">
        <x:f>VLOOKUP(Tabla2[[#This Row],[CODIGO]],Taller2585[[Código]:[Descripción ]],2,0)</x:f>
        <x:v>#N/A</x:v>
      </x:c>
      <x:c r="D801" s="16" t="e">
        <x:f>VLOOKUP(Tabla2[[#This Row],[CODIGO]],Taller2585[[Código]:[Referencia]],3,0)</x:f>
        <x:v>#N/A</x:v>
      </x:c>
    </x:row>
    <x:row r="802">
      <x:c r="C802" s="16" t="e">
        <x:f>VLOOKUP(Tabla2[[#This Row],[CODIGO]],Taller2585[[Código]:[Descripción ]],2,0)</x:f>
        <x:v>#N/A</x:v>
      </x:c>
      <x:c r="D802" s="16" t="e">
        <x:f>VLOOKUP(Tabla2[[#This Row],[CODIGO]],Taller2585[[Código]:[Referencia]],3,0)</x:f>
        <x:v>#N/A</x:v>
      </x:c>
    </x:row>
    <x:row r="803">
      <x:c r="C803" s="16" t="e">
        <x:f>VLOOKUP(Tabla2[[#This Row],[CODIGO]],Taller2585[[Código]:[Descripción ]],2,0)</x:f>
        <x:v>#N/A</x:v>
      </x:c>
      <x:c r="D803" s="16" t="e">
        <x:f>VLOOKUP(Tabla2[[#This Row],[CODIGO]],Taller2585[[Código]:[Referencia]],3,0)</x:f>
        <x:v>#N/A</x:v>
      </x:c>
    </x:row>
    <x:row r="804">
      <x:c r="C804" s="16" t="e">
        <x:f>VLOOKUP(Tabla2[[#This Row],[CODIGO]],Taller2585[[Código]:[Descripción ]],2,0)</x:f>
        <x:v>#N/A</x:v>
      </x:c>
      <x:c r="D804" s="16" t="e">
        <x:f>VLOOKUP(Tabla2[[#This Row],[CODIGO]],Taller2585[[Código]:[Referencia]],3,0)</x:f>
        <x:v>#N/A</x:v>
      </x:c>
    </x:row>
    <x:row r="805">
      <x:c r="C805" s="16" t="e">
        <x:f>VLOOKUP(Tabla2[[#This Row],[CODIGO]],Taller2585[[Código]:[Descripción ]],2,0)</x:f>
        <x:v>#N/A</x:v>
      </x:c>
      <x:c r="D805" s="16" t="e">
        <x:f>VLOOKUP(Tabla2[[#This Row],[CODIGO]],Taller2585[[Código]:[Referencia]],3,0)</x:f>
        <x:v>#N/A</x:v>
      </x:c>
    </x:row>
    <x:row r="806">
      <x:c r="C806" s="16" t="e">
        <x:f>VLOOKUP(Tabla2[[#This Row],[CODIGO]],Taller2585[[Código]:[Descripción ]],2,0)</x:f>
        <x:v>#N/A</x:v>
      </x:c>
      <x:c r="D806" s="16" t="e">
        <x:f>VLOOKUP(Tabla2[[#This Row],[CODIGO]],Taller2585[[Código]:[Referencia]],3,0)</x:f>
        <x:v>#N/A</x:v>
      </x:c>
    </x:row>
    <x:row r="807">
      <x:c r="C807" s="16" t="e">
        <x:f>VLOOKUP(Tabla2[[#This Row],[CODIGO]],Taller2585[[Código]:[Descripción ]],2,0)</x:f>
        <x:v>#N/A</x:v>
      </x:c>
      <x:c r="D807" s="16" t="e">
        <x:f>VLOOKUP(Tabla2[[#This Row],[CODIGO]],Taller2585[[Código]:[Referencia]],3,0)</x:f>
        <x:v>#N/A</x:v>
      </x:c>
    </x:row>
    <x:row r="808">
      <x:c r="C808" s="16" t="e">
        <x:f>VLOOKUP(Tabla2[[#This Row],[CODIGO]],Taller2585[[Código]:[Descripción ]],2,0)</x:f>
        <x:v>#N/A</x:v>
      </x:c>
      <x:c r="D808" s="16" t="e">
        <x:f>VLOOKUP(Tabla2[[#This Row],[CODIGO]],Taller2585[[Código]:[Referencia]],3,0)</x:f>
        <x:v>#N/A</x:v>
      </x:c>
    </x:row>
    <x:row r="809">
      <x:c r="C809" s="16" t="e">
        <x:f>VLOOKUP(Tabla2[[#This Row],[CODIGO]],Taller2585[[Código]:[Descripción ]],2,0)</x:f>
        <x:v>#N/A</x:v>
      </x:c>
      <x:c r="D809" s="16" t="e">
        <x:f>VLOOKUP(Tabla2[[#This Row],[CODIGO]],Taller2585[[Código]:[Referencia]],3,0)</x:f>
        <x:v>#N/A</x:v>
      </x:c>
    </x:row>
    <x:row r="810">
      <x:c r="C810" s="16" t="e">
        <x:f>VLOOKUP(Tabla2[[#This Row],[CODIGO]],Taller2585[[Código]:[Descripción ]],2,0)</x:f>
        <x:v>#N/A</x:v>
      </x:c>
      <x:c r="D810" s="16" t="e">
        <x:f>VLOOKUP(Tabla2[[#This Row],[CODIGO]],Taller2585[[Código]:[Referencia]],3,0)</x:f>
        <x:v>#N/A</x:v>
      </x:c>
    </x:row>
    <x:row r="811">
      <x:c r="C811" s="16" t="e">
        <x:f>VLOOKUP(Tabla2[[#This Row],[CODIGO]],Taller2585[[Código]:[Descripción ]],2,0)</x:f>
        <x:v>#N/A</x:v>
      </x:c>
      <x:c r="D811" s="16" t="e">
        <x:f>VLOOKUP(Tabla2[[#This Row],[CODIGO]],Taller2585[[Código]:[Referencia]],3,0)</x:f>
        <x:v>#N/A</x:v>
      </x:c>
    </x:row>
    <x:row r="812">
      <x:c r="C812" s="16" t="e">
        <x:f>VLOOKUP(Tabla2[[#This Row],[CODIGO]],Taller2585[[Código]:[Descripción ]],2,0)</x:f>
        <x:v>#N/A</x:v>
      </x:c>
      <x:c r="D812" s="16" t="e">
        <x:f>VLOOKUP(Tabla2[[#This Row],[CODIGO]],Taller2585[[Código]:[Referencia]],3,0)</x:f>
        <x:v>#N/A</x:v>
      </x:c>
    </x:row>
    <x:row r="813">
      <x:c r="C813" s="16" t="e">
        <x:f>VLOOKUP(Tabla2[[#This Row],[CODIGO]],Taller2585[[Código]:[Descripción ]],2,0)</x:f>
        <x:v>#N/A</x:v>
      </x:c>
      <x:c r="D813" s="16" t="e">
        <x:f>VLOOKUP(Tabla2[[#This Row],[CODIGO]],Taller2585[[Código]:[Referencia]],3,0)</x:f>
        <x:v>#N/A</x:v>
      </x:c>
    </x:row>
    <x:row r="814">
      <x:c r="C814" s="16" t="e">
        <x:f>VLOOKUP(Tabla2[[#This Row],[CODIGO]],Taller2585[[Código]:[Descripción ]],2,0)</x:f>
        <x:v>#N/A</x:v>
      </x:c>
      <x:c r="D814" s="16" t="e">
        <x:f>VLOOKUP(Tabla2[[#This Row],[CODIGO]],Taller2585[[Código]:[Referencia]],3,0)</x:f>
        <x:v>#N/A</x:v>
      </x:c>
    </x:row>
    <x:row r="815">
      <x:c r="C815" s="16" t="e">
        <x:f>VLOOKUP(Tabla2[[#This Row],[CODIGO]],Taller2585[[Código]:[Descripción ]],2,0)</x:f>
        <x:v>#N/A</x:v>
      </x:c>
      <x:c r="D815" s="16" t="e">
        <x:f>VLOOKUP(Tabla2[[#This Row],[CODIGO]],Taller2585[[Código]:[Referencia]],3,0)</x:f>
        <x:v>#N/A</x:v>
      </x:c>
    </x:row>
    <x:row r="816">
      <x:c r="C816" s="16" t="e">
        <x:f>VLOOKUP(Tabla2[[#This Row],[CODIGO]],Taller2585[[Código]:[Descripción ]],2,0)</x:f>
        <x:v>#N/A</x:v>
      </x:c>
      <x:c r="D816" s="16" t="e">
        <x:f>VLOOKUP(Tabla2[[#This Row],[CODIGO]],Taller2585[[Código]:[Referencia]],3,0)</x:f>
        <x:v>#N/A</x:v>
      </x:c>
    </x:row>
    <x:row r="817">
      <x:c r="C817" s="16" t="e">
        <x:f>VLOOKUP(Tabla2[[#This Row],[CODIGO]],Taller2585[[Código]:[Descripción ]],2,0)</x:f>
        <x:v>#N/A</x:v>
      </x:c>
      <x:c r="D817" s="16" t="e">
        <x:f>VLOOKUP(Tabla2[[#This Row],[CODIGO]],Taller2585[[Código]:[Referencia]],3,0)</x:f>
        <x:v>#N/A</x:v>
      </x:c>
    </x:row>
    <x:row r="818">
      <x:c r="C818" s="16" t="e">
        <x:f>VLOOKUP(Tabla2[[#This Row],[CODIGO]],Taller2585[[Código]:[Descripción ]],2,0)</x:f>
        <x:v>#N/A</x:v>
      </x:c>
      <x:c r="D818" s="16" t="e">
        <x:f>VLOOKUP(Tabla2[[#This Row],[CODIGO]],Taller2585[[Código]:[Referencia]],3,0)</x:f>
        <x:v>#N/A</x:v>
      </x:c>
    </x:row>
    <x:row r="819">
      <x:c r="C819" s="16" t="e">
        <x:f>VLOOKUP(Tabla2[[#This Row],[CODIGO]],Taller2585[[Código]:[Descripción ]],2,0)</x:f>
        <x:v>#N/A</x:v>
      </x:c>
      <x:c r="D819" s="16" t="e">
        <x:f>VLOOKUP(Tabla2[[#This Row],[CODIGO]],Taller2585[[Código]:[Referencia]],3,0)</x:f>
        <x:v>#N/A</x:v>
      </x:c>
    </x:row>
    <x:row r="820">
      <x:c r="C820" s="16" t="e">
        <x:f>VLOOKUP(Tabla2[[#This Row],[CODIGO]],Taller2585[[Código]:[Descripción ]],2,0)</x:f>
        <x:v>#N/A</x:v>
      </x:c>
      <x:c r="D820" s="16" t="e">
        <x:f>VLOOKUP(Tabla2[[#This Row],[CODIGO]],Taller2585[[Código]:[Referencia]],3,0)</x:f>
        <x:v>#N/A</x:v>
      </x:c>
    </x:row>
    <x:row r="821">
      <x:c r="C821" s="16" t="e">
        <x:f>VLOOKUP(Tabla2[[#This Row],[CODIGO]],Taller2585[[Código]:[Descripción ]],2,0)</x:f>
        <x:v>#N/A</x:v>
      </x:c>
      <x:c r="D821" s="16" t="e">
        <x:f>VLOOKUP(Tabla2[[#This Row],[CODIGO]],Taller2585[[Código]:[Referencia]],3,0)</x:f>
        <x:v>#N/A</x:v>
      </x:c>
    </x:row>
    <x:row r="822">
      <x:c r="C822" s="16" t="e">
        <x:f>VLOOKUP(Tabla2[[#This Row],[CODIGO]],Taller2585[[Código]:[Descripción ]],2,0)</x:f>
        <x:v>#N/A</x:v>
      </x:c>
      <x:c r="D822" s="16" t="e">
        <x:f>VLOOKUP(Tabla2[[#This Row],[CODIGO]],Taller2585[[Código]:[Referencia]],3,0)</x:f>
        <x:v>#N/A</x:v>
      </x:c>
    </x:row>
    <x:row r="823">
      <x:c r="C823" s="16" t="e">
        <x:f>VLOOKUP(Tabla2[[#This Row],[CODIGO]],Taller2585[[Código]:[Descripción ]],2,0)</x:f>
        <x:v>#N/A</x:v>
      </x:c>
      <x:c r="D823" s="16" t="e">
        <x:f>VLOOKUP(Tabla2[[#This Row],[CODIGO]],Taller2585[[Código]:[Referencia]],3,0)</x:f>
        <x:v>#N/A</x:v>
      </x:c>
    </x:row>
    <x:row r="824">
      <x:c r="C824" s="16" t="e">
        <x:f>VLOOKUP(Tabla2[[#This Row],[CODIGO]],Taller2585[[Código]:[Descripción ]],2,0)</x:f>
        <x:v>#N/A</x:v>
      </x:c>
      <x:c r="D824" s="16" t="e">
        <x:f>VLOOKUP(Tabla2[[#This Row],[CODIGO]],Taller2585[[Código]:[Referencia]],3,0)</x:f>
        <x:v>#N/A</x:v>
      </x:c>
    </x:row>
    <x:row r="825">
      <x:c r="C825" s="16" t="e">
        <x:f>VLOOKUP(Tabla2[[#This Row],[CODIGO]],Taller2585[[Código]:[Descripción ]],2,0)</x:f>
        <x:v>#N/A</x:v>
      </x:c>
      <x:c r="D825" s="16" t="e">
        <x:f>VLOOKUP(Tabla2[[#This Row],[CODIGO]],Taller2585[[Código]:[Referencia]],3,0)</x:f>
        <x:v>#N/A</x:v>
      </x:c>
    </x:row>
    <x:row r="826">
      <x:c r="C826" s="16" t="e">
        <x:f>VLOOKUP(Tabla2[[#This Row],[CODIGO]],Taller2585[[Código]:[Descripción ]],2,0)</x:f>
        <x:v>#N/A</x:v>
      </x:c>
      <x:c r="D826" s="16" t="e">
        <x:f>VLOOKUP(Tabla2[[#This Row],[CODIGO]],Taller2585[[Código]:[Referencia]],3,0)</x:f>
        <x:v>#N/A</x:v>
      </x:c>
    </x:row>
    <x:row r="827">
      <x:c r="C827" s="16" t="e">
        <x:f>VLOOKUP(Tabla2[[#This Row],[CODIGO]],Taller2585[[Código]:[Descripción ]],2,0)</x:f>
        <x:v>#N/A</x:v>
      </x:c>
      <x:c r="D827" s="16" t="e">
        <x:f>VLOOKUP(Tabla2[[#This Row],[CODIGO]],Taller2585[[Código]:[Referencia]],3,0)</x:f>
        <x:v>#N/A</x:v>
      </x:c>
    </x:row>
    <x:row r="828">
      <x:c r="C828" s="16" t="e">
        <x:f>VLOOKUP(Tabla2[[#This Row],[CODIGO]],Taller2585[[Código]:[Descripción ]],2,0)</x:f>
        <x:v>#N/A</x:v>
      </x:c>
      <x:c r="D828" s="16" t="e">
        <x:f>VLOOKUP(Tabla2[[#This Row],[CODIGO]],Taller2585[[Código]:[Referencia]],3,0)</x:f>
        <x:v>#N/A</x:v>
      </x:c>
    </x:row>
    <x:row r="829">
      <x:c r="C829" s="16" t="e">
        <x:f>VLOOKUP(Tabla2[[#This Row],[CODIGO]],Taller2585[[Código]:[Descripción ]],2,0)</x:f>
        <x:v>#N/A</x:v>
      </x:c>
      <x:c r="D829" s="16" t="e">
        <x:f>VLOOKUP(Tabla2[[#This Row],[CODIGO]],Taller2585[[Código]:[Referencia]],3,0)</x:f>
        <x:v>#N/A</x:v>
      </x:c>
    </x:row>
    <x:row r="830">
      <x:c r="C830" s="16" t="e">
        <x:f>VLOOKUP(Tabla2[[#This Row],[CODIGO]],Taller2585[[Código]:[Descripción ]],2,0)</x:f>
        <x:v>#N/A</x:v>
      </x:c>
      <x:c r="D830" s="16" t="e">
        <x:f>VLOOKUP(Tabla2[[#This Row],[CODIGO]],Taller2585[[Código]:[Referencia]],3,0)</x:f>
        <x:v>#N/A</x:v>
      </x:c>
    </x:row>
    <x:row r="831">
      <x:c r="C831" s="16" t="e">
        <x:f>VLOOKUP(Tabla2[[#This Row],[CODIGO]],Taller2585[[Código]:[Descripción ]],2,0)</x:f>
        <x:v>#N/A</x:v>
      </x:c>
      <x:c r="D831" s="16" t="e">
        <x:f>VLOOKUP(Tabla2[[#This Row],[CODIGO]],Taller2585[[Código]:[Referencia]],3,0)</x:f>
        <x:v>#N/A</x:v>
      </x:c>
    </x:row>
    <x:row r="832">
      <x:c r="C832" s="16" t="e">
        <x:f>VLOOKUP(Tabla2[[#This Row],[CODIGO]],Taller2585[[Código]:[Descripción ]],2,0)</x:f>
        <x:v>#N/A</x:v>
      </x:c>
      <x:c r="D832" s="16" t="e">
        <x:f>VLOOKUP(Tabla2[[#This Row],[CODIGO]],Taller2585[[Código]:[Referencia]],3,0)</x:f>
        <x:v>#N/A</x:v>
      </x:c>
    </x:row>
    <x:row r="833">
      <x:c r="C833" s="16" t="e">
        <x:f>VLOOKUP(Tabla2[[#This Row],[CODIGO]],Taller2585[[Código]:[Descripción ]],2,0)</x:f>
        <x:v>#N/A</x:v>
      </x:c>
      <x:c r="D833" s="16" t="e">
        <x:f>VLOOKUP(Tabla2[[#This Row],[CODIGO]],Taller2585[[Código]:[Referencia]],3,0)</x:f>
        <x:v>#N/A</x:v>
      </x:c>
    </x:row>
    <x:row r="834">
      <x:c r="C834" s="16" t="e">
        <x:f>VLOOKUP(Tabla2[[#This Row],[CODIGO]],Taller2585[[Código]:[Descripción ]],2,0)</x:f>
        <x:v>#N/A</x:v>
      </x:c>
      <x:c r="D834" s="16" t="e">
        <x:f>VLOOKUP(Tabla2[[#This Row],[CODIGO]],Taller2585[[Código]:[Referencia]],3,0)</x:f>
        <x:v>#N/A</x:v>
      </x:c>
    </x:row>
    <x:row r="835">
      <x:c r="C835" s="16" t="e">
        <x:f>VLOOKUP(Tabla2[[#This Row],[CODIGO]],Taller2585[[Código]:[Descripción ]],2,0)</x:f>
        <x:v>#N/A</x:v>
      </x:c>
      <x:c r="D835" s="16" t="e">
        <x:f>VLOOKUP(Tabla2[[#This Row],[CODIGO]],Taller2585[[Código]:[Referencia]],3,0)</x:f>
        <x:v>#N/A</x:v>
      </x:c>
    </x:row>
    <x:row r="836">
      <x:c r="C836" s="16" t="e">
        <x:f>VLOOKUP(Tabla2[[#This Row],[CODIGO]],Taller2585[[Código]:[Descripción ]],2,0)</x:f>
        <x:v>#N/A</x:v>
      </x:c>
      <x:c r="D836" s="16" t="e">
        <x:f>VLOOKUP(Tabla2[[#This Row],[CODIGO]],Taller2585[[Código]:[Referencia]],3,0)</x:f>
        <x:v>#N/A</x:v>
      </x:c>
    </x:row>
    <x:row r="837">
      <x:c r="C837" s="16" t="e">
        <x:f>VLOOKUP(Tabla2[[#This Row],[CODIGO]],Taller2585[[Código]:[Descripción ]],2,0)</x:f>
        <x:v>#N/A</x:v>
      </x:c>
      <x:c r="D837" s="16" t="e">
        <x:f>VLOOKUP(Tabla2[[#This Row],[CODIGO]],Taller2585[[Código]:[Referencia]],3,0)</x:f>
        <x:v>#N/A</x:v>
      </x:c>
    </x:row>
    <x:row r="838">
      <x:c r="C838" s="16" t="e">
        <x:f>VLOOKUP(Tabla2[[#This Row],[CODIGO]],Taller2585[[Código]:[Descripción ]],2,0)</x:f>
        <x:v>#N/A</x:v>
      </x:c>
      <x:c r="D838" s="16" t="e">
        <x:f>VLOOKUP(Tabla2[[#This Row],[CODIGO]],Taller2585[[Código]:[Referencia]],3,0)</x:f>
        <x:v>#N/A</x:v>
      </x:c>
    </x:row>
    <x:row r="839">
      <x:c r="C839" s="16" t="e">
        <x:f>VLOOKUP(Tabla2[[#This Row],[CODIGO]],Taller2585[[Código]:[Descripción ]],2,0)</x:f>
        <x:v>#N/A</x:v>
      </x:c>
      <x:c r="D839" s="16" t="e">
        <x:f>VLOOKUP(Tabla2[[#This Row],[CODIGO]],Taller2585[[Código]:[Referencia]],3,0)</x:f>
        <x:v>#N/A</x:v>
      </x:c>
    </x:row>
    <x:row r="840">
      <x:c r="C840" s="16" t="e">
        <x:f>VLOOKUP(Tabla2[[#This Row],[CODIGO]],Taller2585[[Código]:[Descripción ]],2,0)</x:f>
        <x:v>#N/A</x:v>
      </x:c>
      <x:c r="D840" s="16" t="e">
        <x:f>VLOOKUP(Tabla2[[#This Row],[CODIGO]],Taller2585[[Código]:[Referencia]],3,0)</x:f>
        <x:v>#N/A</x:v>
      </x:c>
    </x:row>
    <x:row r="841">
      <x:c r="C841" s="16" t="e">
        <x:f>VLOOKUP(Tabla2[[#This Row],[CODIGO]],Taller2585[[Código]:[Descripción ]],2,0)</x:f>
        <x:v>#N/A</x:v>
      </x:c>
      <x:c r="D841" s="16" t="e">
        <x:f>VLOOKUP(Tabla2[[#This Row],[CODIGO]],Taller2585[[Código]:[Referencia]],3,0)</x:f>
        <x:v>#N/A</x:v>
      </x:c>
    </x:row>
    <x:row r="842">
      <x:c r="C842" s="16" t="e">
        <x:f>VLOOKUP(Tabla2[[#This Row],[CODIGO]],Taller2585[[Código]:[Descripción ]],2,0)</x:f>
        <x:v>#N/A</x:v>
      </x:c>
      <x:c r="D842" s="16" t="e">
        <x:f>VLOOKUP(Tabla2[[#This Row],[CODIGO]],Taller2585[[Código]:[Referencia]],3,0)</x:f>
        <x:v>#N/A</x:v>
      </x:c>
    </x:row>
    <x:row r="843">
      <x:c r="C843" s="16" t="e">
        <x:f>VLOOKUP(Tabla2[[#This Row],[CODIGO]],Taller2585[[Código]:[Descripción ]],2,0)</x:f>
        <x:v>#N/A</x:v>
      </x:c>
      <x:c r="D843" s="16" t="e">
        <x:f>VLOOKUP(Tabla2[[#This Row],[CODIGO]],Taller2585[[Código]:[Referencia]],3,0)</x:f>
        <x:v>#N/A</x:v>
      </x:c>
    </x:row>
    <x:row r="844">
      <x:c r="C844" s="16" t="e">
        <x:f>VLOOKUP(Tabla2[[#This Row],[CODIGO]],Taller2585[[Código]:[Descripción ]],2,0)</x:f>
        <x:v>#N/A</x:v>
      </x:c>
      <x:c r="D844" s="16" t="e">
        <x:f>VLOOKUP(Tabla2[[#This Row],[CODIGO]],Taller2585[[Código]:[Referencia]],3,0)</x:f>
        <x:v>#N/A</x:v>
      </x:c>
    </x:row>
    <x:row r="845">
      <x:c r="C845" s="16" t="e">
        <x:f>VLOOKUP(Tabla2[[#This Row],[CODIGO]],Taller2585[[Código]:[Descripción ]],2,0)</x:f>
        <x:v>#N/A</x:v>
      </x:c>
      <x:c r="D845" s="16" t="e">
        <x:f>VLOOKUP(Tabla2[[#This Row],[CODIGO]],Taller2585[[Código]:[Referencia]],3,0)</x:f>
        <x:v>#N/A</x:v>
      </x:c>
    </x:row>
    <x:row r="846">
      <x:c r="C846" s="16" t="e">
        <x:f>VLOOKUP(Tabla2[[#This Row],[CODIGO]],Taller2585[[Código]:[Descripción ]],2,0)</x:f>
        <x:v>#N/A</x:v>
      </x:c>
      <x:c r="D846" s="16" t="e">
        <x:f>VLOOKUP(Tabla2[[#This Row],[CODIGO]],Taller2585[[Código]:[Referencia]],3,0)</x:f>
        <x:v>#N/A</x:v>
      </x:c>
    </x:row>
    <x:row r="847">
      <x:c r="C847" s="16" t="e">
        <x:f>VLOOKUP(Tabla2[[#This Row],[CODIGO]],Taller2585[[Código]:[Descripción ]],2,0)</x:f>
        <x:v>#N/A</x:v>
      </x:c>
      <x:c r="D847" s="16" t="e">
        <x:f>VLOOKUP(Tabla2[[#This Row],[CODIGO]],Taller2585[[Código]:[Referencia]],3,0)</x:f>
        <x:v>#N/A</x:v>
      </x:c>
    </x:row>
    <x:row r="848">
      <x:c r="C848" s="16" t="e">
        <x:f>VLOOKUP(Tabla2[[#This Row],[CODIGO]],Taller2585[[Código]:[Descripción ]],2,0)</x:f>
        <x:v>#N/A</x:v>
      </x:c>
      <x:c r="D848" s="16" t="e">
        <x:f>VLOOKUP(Tabla2[[#This Row],[CODIGO]],Taller2585[[Código]:[Referencia]],3,0)</x:f>
        <x:v>#N/A</x:v>
      </x:c>
    </x:row>
    <x:row r="849">
      <x:c r="C849" s="16" t="e">
        <x:f>VLOOKUP(Tabla2[[#This Row],[CODIGO]],Taller2585[[Código]:[Descripción ]],2,0)</x:f>
        <x:v>#N/A</x:v>
      </x:c>
      <x:c r="D849" s="16" t="e">
        <x:f>VLOOKUP(Tabla2[[#This Row],[CODIGO]],Taller2585[[Código]:[Referencia]],3,0)</x:f>
        <x:v>#N/A</x:v>
      </x:c>
    </x:row>
    <x:row r="850">
      <x:c r="C850" s="16" t="e">
        <x:f>VLOOKUP(Tabla2[[#This Row],[CODIGO]],Taller2585[[Código]:[Descripción ]],2,0)</x:f>
        <x:v>#N/A</x:v>
      </x:c>
      <x:c r="D850" s="16" t="e">
        <x:f>VLOOKUP(Tabla2[[#This Row],[CODIGO]],Taller2585[[Código]:[Referencia]],3,0)</x:f>
        <x:v>#N/A</x:v>
      </x:c>
    </x:row>
    <x:row r="851">
      <x:c r="C851" s="16" t="e">
        <x:f>VLOOKUP(Tabla2[[#This Row],[CODIGO]],Taller2585[[Código]:[Descripción ]],2,0)</x:f>
        <x:v>#N/A</x:v>
      </x:c>
      <x:c r="D851" s="16" t="e">
        <x:f>VLOOKUP(Tabla2[[#This Row],[CODIGO]],Taller2585[[Código]:[Referencia]],3,0)</x:f>
        <x:v>#N/A</x:v>
      </x:c>
    </x:row>
    <x:row r="852">
      <x:c r="C852" s="16" t="e">
        <x:f>VLOOKUP(Tabla2[[#This Row],[CODIGO]],Taller2585[[Código]:[Descripción ]],2,0)</x:f>
        <x:v>#N/A</x:v>
      </x:c>
      <x:c r="D852" s="16" t="e">
        <x:f>VLOOKUP(Tabla2[[#This Row],[CODIGO]],Taller2585[[Código]:[Referencia]],3,0)</x:f>
        <x:v>#N/A</x:v>
      </x:c>
    </x:row>
    <x:row r="853">
      <x:c r="C853" s="16" t="e">
        <x:f>VLOOKUP(Tabla2[[#This Row],[CODIGO]],Taller2585[[Código]:[Descripción ]],2,0)</x:f>
        <x:v>#N/A</x:v>
      </x:c>
      <x:c r="D853" s="16" t="e">
        <x:f>VLOOKUP(Tabla2[[#This Row],[CODIGO]],Taller2585[[Código]:[Referencia]],3,0)</x:f>
        <x:v>#N/A</x:v>
      </x:c>
    </x:row>
    <x:row r="854">
      <x:c r="C854" s="16" t="e">
        <x:f>VLOOKUP(Tabla2[[#This Row],[CODIGO]],Taller2585[[Código]:[Descripción ]],2,0)</x:f>
        <x:v>#N/A</x:v>
      </x:c>
      <x:c r="D854" s="16" t="e">
        <x:f>VLOOKUP(Tabla2[[#This Row],[CODIGO]],Taller2585[[Código]:[Referencia]],3,0)</x:f>
        <x:v>#N/A</x:v>
      </x:c>
    </x:row>
    <x:row r="855">
      <x:c r="C855" s="16" t="e">
        <x:f>VLOOKUP(Tabla2[[#This Row],[CODIGO]],Taller2585[[Código]:[Descripción ]],2,0)</x:f>
        <x:v>#N/A</x:v>
      </x:c>
      <x:c r="D855" s="16" t="e">
        <x:f>VLOOKUP(Tabla2[[#This Row],[CODIGO]],Taller2585[[Código]:[Referencia]],3,0)</x:f>
        <x:v>#N/A</x:v>
      </x:c>
    </x:row>
    <x:row r="856">
      <x:c r="C856" s="16" t="e">
        <x:f>VLOOKUP(Tabla2[[#This Row],[CODIGO]],Taller2585[[Código]:[Descripción ]],2,0)</x:f>
        <x:v>#N/A</x:v>
      </x:c>
      <x:c r="D856" s="16" t="e">
        <x:f>VLOOKUP(Tabla2[[#This Row],[CODIGO]],Taller2585[[Código]:[Referencia]],3,0)</x:f>
        <x:v>#N/A</x:v>
      </x:c>
    </x:row>
    <x:row r="857">
      <x:c r="C857" s="16" t="e">
        <x:f>VLOOKUP(Tabla2[[#This Row],[CODIGO]],Taller2585[[Código]:[Descripción ]],2,0)</x:f>
        <x:v>#N/A</x:v>
      </x:c>
      <x:c r="D857" s="16" t="e">
        <x:f>VLOOKUP(Tabla2[[#This Row],[CODIGO]],Taller2585[[Código]:[Referencia]],3,0)</x:f>
        <x:v>#N/A</x:v>
      </x:c>
    </x:row>
    <x:row r="858">
      <x:c r="C858" s="16" t="e">
        <x:f>VLOOKUP(Tabla2[[#This Row],[CODIGO]],Taller2585[[Código]:[Descripción ]],2,0)</x:f>
        <x:v>#N/A</x:v>
      </x:c>
      <x:c r="D858" s="16" t="e">
        <x:f>VLOOKUP(Tabla2[[#This Row],[CODIGO]],Taller2585[[Código]:[Referencia]],3,0)</x:f>
        <x:v>#N/A</x:v>
      </x:c>
    </x:row>
    <x:row r="859">
      <x:c r="C859" s="16" t="e">
        <x:f>VLOOKUP(Tabla2[[#This Row],[CODIGO]],Taller2585[[Código]:[Descripción ]],2,0)</x:f>
        <x:v>#N/A</x:v>
      </x:c>
      <x:c r="D859" s="16" t="e">
        <x:f>VLOOKUP(Tabla2[[#This Row],[CODIGO]],Taller2585[[Código]:[Referencia]],3,0)</x:f>
        <x:v>#N/A</x:v>
      </x:c>
    </x:row>
    <x:row r="860">
      <x:c r="C860" s="16" t="e">
        <x:f>VLOOKUP(Tabla2[[#This Row],[CODIGO]],Taller2585[[Código]:[Descripción ]],2,0)</x:f>
        <x:v>#N/A</x:v>
      </x:c>
      <x:c r="D860" s="16" t="e">
        <x:f>VLOOKUP(Tabla2[[#This Row],[CODIGO]],Taller2585[[Código]:[Referencia]],3,0)</x:f>
        <x:v>#N/A</x:v>
      </x:c>
    </x:row>
    <x:row r="861">
      <x:c r="C861" s="16" t="e">
        <x:f>VLOOKUP(Tabla2[[#This Row],[CODIGO]],Taller2585[[Código]:[Descripción ]],2,0)</x:f>
        <x:v>#N/A</x:v>
      </x:c>
      <x:c r="D861" s="16" t="e">
        <x:f>VLOOKUP(Tabla2[[#This Row],[CODIGO]],Taller2585[[Código]:[Referencia]],3,0)</x:f>
        <x:v>#N/A</x:v>
      </x:c>
    </x:row>
    <x:row r="862">
      <x:c r="C862" s="16" t="e">
        <x:f>VLOOKUP(Tabla2[[#This Row],[CODIGO]],Taller2585[[Código]:[Descripción ]],2,0)</x:f>
        <x:v>#N/A</x:v>
      </x:c>
      <x:c r="D862" s="16" t="e">
        <x:f>VLOOKUP(Tabla2[[#This Row],[CODIGO]],Taller2585[[Código]:[Referencia]],3,0)</x:f>
        <x:v>#N/A</x:v>
      </x:c>
    </x:row>
    <x:row r="863">
      <x:c r="C863" s="16" t="e">
        <x:f>VLOOKUP(Tabla2[[#This Row],[CODIGO]],Taller2585[[Código]:[Descripción ]],2,0)</x:f>
        <x:v>#N/A</x:v>
      </x:c>
      <x:c r="D863" s="16" t="e">
        <x:f>VLOOKUP(Tabla2[[#This Row],[CODIGO]],Taller2585[[Código]:[Referencia]],3,0)</x:f>
        <x:v>#N/A</x:v>
      </x:c>
    </x:row>
    <x:row r="864">
      <x:c r="C864" s="16" t="e">
        <x:f>VLOOKUP(Tabla2[[#This Row],[CODIGO]],Taller2585[[Código]:[Descripción ]],2,0)</x:f>
        <x:v>#N/A</x:v>
      </x:c>
      <x:c r="D864" s="16" t="e">
        <x:f>VLOOKUP(Tabla2[[#This Row],[CODIGO]],Taller2585[[Código]:[Referencia]],3,0)</x:f>
        <x:v>#N/A</x:v>
      </x:c>
    </x:row>
    <x:row r="865">
      <x:c r="C865" s="16" t="e">
        <x:f>VLOOKUP(Tabla2[[#This Row],[CODIGO]],Taller2585[[Código]:[Descripción ]],2,0)</x:f>
        <x:v>#N/A</x:v>
      </x:c>
      <x:c r="D865" s="16" t="e">
        <x:f>VLOOKUP(Tabla2[[#This Row],[CODIGO]],Taller2585[[Código]:[Referencia]],3,0)</x:f>
        <x:v>#N/A</x:v>
      </x:c>
    </x:row>
    <x:row r="866">
      <x:c r="C866" s="16" t="e">
        <x:f>VLOOKUP(Tabla2[[#This Row],[CODIGO]],Taller2585[[Código]:[Descripción ]],2,0)</x:f>
        <x:v>#N/A</x:v>
      </x:c>
      <x:c r="D866" s="16" t="e">
        <x:f>VLOOKUP(Tabla2[[#This Row],[CODIGO]],Taller2585[[Código]:[Referencia]],3,0)</x:f>
        <x:v>#N/A</x:v>
      </x:c>
    </x:row>
    <x:row r="867">
      <x:c r="C867" s="16" t="e">
        <x:f>VLOOKUP(Tabla2[[#This Row],[CODIGO]],Taller2585[[Código]:[Descripción ]],2,0)</x:f>
        <x:v>#N/A</x:v>
      </x:c>
      <x:c r="D867" s="16" t="e">
        <x:f>VLOOKUP(Tabla2[[#This Row],[CODIGO]],Taller2585[[Código]:[Referencia]],3,0)</x:f>
        <x:v>#N/A</x:v>
      </x:c>
    </x:row>
    <x:row r="868">
      <x:c r="C868" s="16" t="e">
        <x:f>VLOOKUP(Tabla2[[#This Row],[CODIGO]],Taller2585[[Código]:[Descripción ]],2,0)</x:f>
        <x:v>#N/A</x:v>
      </x:c>
      <x:c r="D868" s="16" t="e">
        <x:f>VLOOKUP(Tabla2[[#This Row],[CODIGO]],Taller2585[[Código]:[Referencia]],3,0)</x:f>
        <x:v>#N/A</x:v>
      </x:c>
    </x:row>
    <x:row r="869">
      <x:c r="C869" s="16" t="e">
        <x:f>VLOOKUP(Tabla2[[#This Row],[CODIGO]],Taller2585[[Código]:[Descripción ]],2,0)</x:f>
        <x:v>#N/A</x:v>
      </x:c>
      <x:c r="D869" s="16" t="e">
        <x:f>VLOOKUP(Tabla2[[#This Row],[CODIGO]],Taller2585[[Código]:[Referencia]],3,0)</x:f>
        <x:v>#N/A</x:v>
      </x:c>
    </x:row>
    <x:row r="870">
      <x:c r="C870" s="16" t="e">
        <x:f>VLOOKUP(Tabla2[[#This Row],[CODIGO]],Taller2585[[Código]:[Descripción ]],2,0)</x:f>
        <x:v>#N/A</x:v>
      </x:c>
      <x:c r="D870" s="16" t="e">
        <x:f>VLOOKUP(Tabla2[[#This Row],[CODIGO]],Taller2585[[Código]:[Referencia]],3,0)</x:f>
        <x:v>#N/A</x:v>
      </x:c>
    </x:row>
    <x:row r="871">
      <x:c r="C871" s="16" t="e">
        <x:f>VLOOKUP(Tabla2[[#This Row],[CODIGO]],Taller2585[[Código]:[Descripción ]],2,0)</x:f>
        <x:v>#N/A</x:v>
      </x:c>
      <x:c r="D871" s="16" t="e">
        <x:f>VLOOKUP(Tabla2[[#This Row],[CODIGO]],Taller2585[[Código]:[Referencia]],3,0)</x:f>
        <x:v>#N/A</x:v>
      </x:c>
    </x:row>
    <x:row r="872">
      <x:c r="C872" s="16" t="e">
        <x:f>VLOOKUP(Tabla2[[#This Row],[CODIGO]],Taller2585[[Código]:[Descripción ]],2,0)</x:f>
        <x:v>#N/A</x:v>
      </x:c>
      <x:c r="D872" s="16" t="e">
        <x:f>VLOOKUP(Tabla2[[#This Row],[CODIGO]],Taller2585[[Código]:[Referencia]],3,0)</x:f>
        <x:v>#N/A</x:v>
      </x:c>
    </x:row>
    <x:row r="873">
      <x:c r="C873" s="16" t="e">
        <x:f>VLOOKUP(Tabla2[[#This Row],[CODIGO]],Taller2585[[Código]:[Descripción ]],2,0)</x:f>
        <x:v>#N/A</x:v>
      </x:c>
      <x:c r="D873" s="16" t="e">
        <x:f>VLOOKUP(Tabla2[[#This Row],[CODIGO]],Taller2585[[Código]:[Referencia]],3,0)</x:f>
        <x:v>#N/A</x:v>
      </x:c>
    </x:row>
    <x:row r="874">
      <x:c r="C874" s="16" t="e">
        <x:f>VLOOKUP(Tabla2[[#This Row],[CODIGO]],Taller2585[[Código]:[Descripción ]],2,0)</x:f>
        <x:v>#N/A</x:v>
      </x:c>
      <x:c r="D874" s="16" t="e">
        <x:f>VLOOKUP(Tabla2[[#This Row],[CODIGO]],Taller2585[[Código]:[Referencia]],3,0)</x:f>
        <x:v>#N/A</x:v>
      </x:c>
    </x:row>
    <x:row r="875">
      <x:c r="C875" s="16" t="e">
        <x:f>VLOOKUP(Tabla2[[#This Row],[CODIGO]],Taller2585[[Código]:[Descripción ]],2,0)</x:f>
        <x:v>#N/A</x:v>
      </x:c>
      <x:c r="D875" s="16" t="e">
        <x:f>VLOOKUP(Tabla2[[#This Row],[CODIGO]],Taller2585[[Código]:[Referencia]],3,0)</x:f>
        <x:v>#N/A</x:v>
      </x:c>
    </x:row>
    <x:row r="876">
      <x:c r="C876" s="16" t="e">
        <x:f>VLOOKUP(Tabla2[[#This Row],[CODIGO]],Taller2585[[Código]:[Descripción ]],2,0)</x:f>
        <x:v>#N/A</x:v>
      </x:c>
      <x:c r="D876" s="16" t="e">
        <x:f>VLOOKUP(Tabla2[[#This Row],[CODIGO]],Taller2585[[Código]:[Referencia]],3,0)</x:f>
        <x:v>#N/A</x:v>
      </x:c>
    </x:row>
    <x:row r="877">
      <x:c r="C877" s="16" t="e">
        <x:f>VLOOKUP(Tabla2[[#This Row],[CODIGO]],Taller2585[[Código]:[Descripción ]],2,0)</x:f>
        <x:v>#N/A</x:v>
      </x:c>
      <x:c r="D877" s="16" t="e">
        <x:f>VLOOKUP(Tabla2[[#This Row],[CODIGO]],Taller2585[[Código]:[Referencia]],3,0)</x:f>
        <x:v>#N/A</x:v>
      </x:c>
    </x:row>
    <x:row r="878">
      <x:c r="C878" s="16" t="e">
        <x:f>VLOOKUP(Tabla2[[#This Row],[CODIGO]],Taller2585[[Código]:[Descripción ]],2,0)</x:f>
        <x:v>#N/A</x:v>
      </x:c>
      <x:c r="D878" s="16" t="e">
        <x:f>VLOOKUP(Tabla2[[#This Row],[CODIGO]],Taller2585[[Código]:[Referencia]],3,0)</x:f>
        <x:v>#N/A</x:v>
      </x:c>
    </x:row>
    <x:row r="879">
      <x:c r="C879" s="16" t="e">
        <x:f>VLOOKUP(Tabla2[[#This Row],[CODIGO]],Taller2585[[Código]:[Descripción ]],2,0)</x:f>
        <x:v>#N/A</x:v>
      </x:c>
      <x:c r="D879" s="16" t="e">
        <x:f>VLOOKUP(Tabla2[[#This Row],[CODIGO]],Taller2585[[Código]:[Referencia]],3,0)</x:f>
        <x:v>#N/A</x:v>
      </x:c>
    </x:row>
    <x:row r="880">
      <x:c r="C880" s="16" t="e">
        <x:f>VLOOKUP(Tabla2[[#This Row],[CODIGO]],Taller2585[[Código]:[Descripción ]],2,0)</x:f>
        <x:v>#N/A</x:v>
      </x:c>
      <x:c r="D880" s="16" t="e">
        <x:f>VLOOKUP(Tabla2[[#This Row],[CODIGO]],Taller2585[[Código]:[Referencia]],3,0)</x:f>
        <x:v>#N/A</x:v>
      </x:c>
    </x:row>
    <x:row r="881">
      <x:c r="C881" s="16" t="e">
        <x:f>VLOOKUP(Tabla2[[#This Row],[CODIGO]],Taller2585[[Código]:[Descripción ]],2,0)</x:f>
        <x:v>#N/A</x:v>
      </x:c>
      <x:c r="D881" s="16" t="e">
        <x:f>VLOOKUP(Tabla2[[#This Row],[CODIGO]],Taller2585[[Código]:[Referencia]],3,0)</x:f>
        <x:v>#N/A</x:v>
      </x:c>
    </x:row>
    <x:row r="882">
      <x:c r="C882" s="16" t="e">
        <x:f>VLOOKUP(Tabla2[[#This Row],[CODIGO]],Taller2585[[Código]:[Descripción ]],2,0)</x:f>
        <x:v>#N/A</x:v>
      </x:c>
      <x:c r="D882" s="16" t="e">
        <x:f>VLOOKUP(Tabla2[[#This Row],[CODIGO]],Taller2585[[Código]:[Referencia]],3,0)</x:f>
        <x:v>#N/A</x:v>
      </x:c>
    </x:row>
    <x:row r="883">
      <x:c r="C883" s="16" t="e">
        <x:f>VLOOKUP(Tabla2[[#This Row],[CODIGO]],Taller2585[[Código]:[Descripción ]],2,0)</x:f>
        <x:v>#N/A</x:v>
      </x:c>
      <x:c r="D883" s="16" t="e">
        <x:f>VLOOKUP(Tabla2[[#This Row],[CODIGO]],Taller2585[[Código]:[Referencia]],3,0)</x:f>
        <x:v>#N/A</x:v>
      </x:c>
    </x:row>
    <x:row r="884">
      <x:c r="C884" s="16" t="e">
        <x:f>VLOOKUP(Tabla2[[#This Row],[CODIGO]],Taller2585[[Código]:[Descripción ]],2,0)</x:f>
        <x:v>#N/A</x:v>
      </x:c>
      <x:c r="D884" s="16" t="e">
        <x:f>VLOOKUP(Tabla2[[#This Row],[CODIGO]],Taller2585[[Código]:[Referencia]],3,0)</x:f>
        <x:v>#N/A</x:v>
      </x:c>
    </x:row>
    <x:row r="885">
      <x:c r="C885" s="16" t="e">
        <x:f>VLOOKUP(Tabla2[[#This Row],[CODIGO]],Taller2585[[Código]:[Descripción ]],2,0)</x:f>
        <x:v>#N/A</x:v>
      </x:c>
      <x:c r="D885" s="16" t="e">
        <x:f>VLOOKUP(Tabla2[[#This Row],[CODIGO]],Taller2585[[Código]:[Referencia]],3,0)</x:f>
        <x:v>#N/A</x:v>
      </x:c>
    </x:row>
    <x:row r="886">
      <x:c r="C886" s="16" t="e">
        <x:f>VLOOKUP(Tabla2[[#This Row],[CODIGO]],Taller2585[[Código]:[Descripción ]],2,0)</x:f>
        <x:v>#N/A</x:v>
      </x:c>
      <x:c r="D886" s="16" t="e">
        <x:f>VLOOKUP(Tabla2[[#This Row],[CODIGO]],Taller2585[[Código]:[Referencia]],3,0)</x:f>
        <x:v>#N/A</x:v>
      </x:c>
    </x:row>
    <x:row r="887">
      <x:c r="C887" s="16" t="e">
        <x:f>VLOOKUP(Tabla2[[#This Row],[CODIGO]],Taller2585[[Código]:[Descripción ]],2,0)</x:f>
        <x:v>#N/A</x:v>
      </x:c>
      <x:c r="D887" s="16" t="e">
        <x:f>VLOOKUP(Tabla2[[#This Row],[CODIGO]],Taller2585[[Código]:[Referencia]],3,0)</x:f>
        <x:v>#N/A</x:v>
      </x:c>
    </x:row>
    <x:row r="888">
      <x:c r="C888" s="16" t="e">
        <x:f>VLOOKUP(Tabla2[[#This Row],[CODIGO]],Taller2585[[Código]:[Descripción ]],2,0)</x:f>
        <x:v>#N/A</x:v>
      </x:c>
      <x:c r="D888" s="16" t="e">
        <x:f>VLOOKUP(Tabla2[[#This Row],[CODIGO]],Taller2585[[Código]:[Referencia]],3,0)</x:f>
        <x:v>#N/A</x:v>
      </x:c>
    </x:row>
    <x:row r="889">
      <x:c r="C889" s="16" t="e">
        <x:f>VLOOKUP(Tabla2[[#This Row],[CODIGO]],Taller2585[[Código]:[Descripción ]],2,0)</x:f>
        <x:v>#N/A</x:v>
      </x:c>
      <x:c r="D889" s="16" t="e">
        <x:f>VLOOKUP(Tabla2[[#This Row],[CODIGO]],Taller2585[[Código]:[Referencia]],3,0)</x:f>
        <x:v>#N/A</x:v>
      </x:c>
    </x:row>
    <x:row r="890">
      <x:c r="C890" s="16" t="e">
        <x:f>VLOOKUP(Tabla2[[#This Row],[CODIGO]],Taller2585[[Código]:[Descripción ]],2,0)</x:f>
        <x:v>#N/A</x:v>
      </x:c>
      <x:c r="D890" s="16" t="e">
        <x:f>VLOOKUP(Tabla2[[#This Row],[CODIGO]],Taller2585[[Código]:[Referencia]],3,0)</x:f>
        <x:v>#N/A</x:v>
      </x:c>
    </x:row>
    <x:row r="891">
      <x:c r="C891" s="16" t="e">
        <x:f>VLOOKUP(Tabla2[[#This Row],[CODIGO]],Taller2585[[Código]:[Descripción ]],2,0)</x:f>
        <x:v>#N/A</x:v>
      </x:c>
      <x:c r="D891" s="16" t="e">
        <x:f>VLOOKUP(Tabla2[[#This Row],[CODIGO]],Taller2585[[Código]:[Referencia]],3,0)</x:f>
        <x:v>#N/A</x:v>
      </x:c>
    </x:row>
    <x:row r="892">
      <x:c r="C892" s="16" t="e">
        <x:f>VLOOKUP(Tabla2[[#This Row],[CODIGO]],Taller2585[[Código]:[Descripción ]],2,0)</x:f>
        <x:v>#N/A</x:v>
      </x:c>
      <x:c r="D892" s="16" t="e">
        <x:f>VLOOKUP(Tabla2[[#This Row],[CODIGO]],Taller2585[[Código]:[Referencia]],3,0)</x:f>
        <x:v>#N/A</x:v>
      </x:c>
    </x:row>
    <x:row r="893">
      <x:c r="C893" s="16" t="e">
        <x:f>VLOOKUP(Tabla2[[#This Row],[CODIGO]],Taller2585[[Código]:[Descripción ]],2,0)</x:f>
        <x:v>#N/A</x:v>
      </x:c>
      <x:c r="D893" s="16" t="e">
        <x:f>VLOOKUP(Tabla2[[#This Row],[CODIGO]],Taller2585[[Código]:[Referencia]],3,0)</x:f>
        <x:v>#N/A</x:v>
      </x:c>
    </x:row>
    <x:row r="894">
      <x:c r="C894" s="16" t="e">
        <x:f>VLOOKUP(Tabla2[[#This Row],[CODIGO]],Taller2585[[Código]:[Descripción ]],2,0)</x:f>
        <x:v>#N/A</x:v>
      </x:c>
      <x:c r="D894" s="16" t="e">
        <x:f>VLOOKUP(Tabla2[[#This Row],[CODIGO]],Taller2585[[Código]:[Referencia]],3,0)</x:f>
        <x:v>#N/A</x:v>
      </x:c>
    </x:row>
  </x:sheetData>
  <x:pageMargins left="0.7" right="0.7" top="0.75" bottom="0.75" header="0.3" footer="0.3"/>
  <x:tableParts count="1">
    <x:tablePart xmlns:r="http://schemas.openxmlformats.org/officeDocument/2006/relationships" r:id="R6b76ac866165484c"/>
  </x:tableParts>
</x:worksheet>
</file>